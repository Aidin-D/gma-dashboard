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onedometic-my.sharepoint.com/personal/carson_liang_dometic_com/Documents/Desktop/"/>
    </mc:Choice>
  </mc:AlternateContent>
  <xr:revisionPtr revIDLastSave="0" documentId="8_{6507010F-F10C-4C52-A9A2-06E20B3249F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Valterra Schdule" sheetId="10" r:id="rId1"/>
    <sheet name="Valterra 26 Feb" sheetId="7" state="hidden" r:id="rId2"/>
    <sheet name="Valterra 03 March" sheetId="8" r:id="rId3"/>
    <sheet name="Schedule Production (1)" sheetId="6" state="hidden" r:id="rId4"/>
    <sheet name="Schedule Production (2)" sheetId="9" state="hidden" r:id="rId5"/>
    <sheet name="Schedule Production (Original)" sheetId="11" r:id="rId6"/>
    <sheet name="Schedule (If EVA Delay)" sheetId="13" state="hidden" r:id="rId7"/>
    <sheet name="Man Power" sheetId="2" r:id="rId8"/>
    <sheet name="Schedule Production (4)" sheetId="12" state="hidden" r:id="rId9"/>
    <sheet name="Planning Man Power" sheetId="5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123Graph_AWEAKNESS" localSheetId="6" hidden="1">'[1]ocean voyage'!#REF!</definedName>
    <definedName name="__123Graph_AWEAKNESS" localSheetId="3" hidden="1">'[1]ocean voyage'!#REF!</definedName>
    <definedName name="__123Graph_AWEAKNESS" localSheetId="4" hidden="1">'[1]ocean voyage'!#REF!</definedName>
    <definedName name="__123Graph_AWEAKNESS" localSheetId="8" hidden="1">'[1]ocean voyage'!#REF!</definedName>
    <definedName name="__123Graph_AWEAKNESS" localSheetId="5" hidden="1">'[1]ocean voyage'!#REF!</definedName>
    <definedName name="__123Graph_AWEAKNESS" localSheetId="2" hidden="1">'[1]ocean voyage'!#REF!</definedName>
    <definedName name="__123Graph_AWEAKNESS" localSheetId="1" hidden="1">'[1]ocean voyage'!#REF!</definedName>
    <definedName name="__123Graph_AWEAKNESS" localSheetId="0" hidden="1">'[1]ocean voyage'!#REF!</definedName>
    <definedName name="__123Graph_AWEAKNESS" hidden="1">'[1]ocean voyage'!#REF!</definedName>
    <definedName name="__123Graph_LBL_AWEAKNESS" localSheetId="6" hidden="1">'[1]ocean voyage'!#REF!</definedName>
    <definedName name="__123Graph_LBL_AWEAKNESS" localSheetId="3" hidden="1">'[1]ocean voyage'!#REF!</definedName>
    <definedName name="__123Graph_LBL_AWEAKNESS" localSheetId="4" hidden="1">'[1]ocean voyage'!#REF!</definedName>
    <definedName name="__123Graph_LBL_AWEAKNESS" localSheetId="8" hidden="1">'[1]ocean voyage'!#REF!</definedName>
    <definedName name="__123Graph_LBL_AWEAKNESS" localSheetId="5" hidden="1">'[1]ocean voyage'!#REF!</definedName>
    <definedName name="__123Graph_LBL_AWEAKNESS" localSheetId="2" hidden="1">'[1]ocean voyage'!#REF!</definedName>
    <definedName name="__123Graph_LBL_AWEAKNESS" localSheetId="1" hidden="1">'[1]ocean voyage'!#REF!</definedName>
    <definedName name="__123Graph_LBL_AWEAKNESS" localSheetId="0" hidden="1">'[1]ocean voyage'!#REF!</definedName>
    <definedName name="__123Graph_LBL_AWEAKNESS" hidden="1">'[1]ocean voyage'!#REF!</definedName>
    <definedName name="__123Graph_XWEAKNESS" localSheetId="6" hidden="1">'[1]ocean voyage'!#REF!</definedName>
    <definedName name="__123Graph_XWEAKNESS" localSheetId="3" hidden="1">'[1]ocean voyage'!#REF!</definedName>
    <definedName name="__123Graph_XWEAKNESS" localSheetId="4" hidden="1">'[1]ocean voyage'!#REF!</definedName>
    <definedName name="__123Graph_XWEAKNESS" localSheetId="8" hidden="1">'[1]ocean voyage'!#REF!</definedName>
    <definedName name="__123Graph_XWEAKNESS" localSheetId="5" hidden="1">'[1]ocean voyage'!#REF!</definedName>
    <definedName name="__123Graph_XWEAKNESS" localSheetId="2" hidden="1">'[1]ocean voyage'!#REF!</definedName>
    <definedName name="__123Graph_XWEAKNESS" localSheetId="1" hidden="1">'[1]ocean voyage'!#REF!</definedName>
    <definedName name="__123Graph_XWEAKNESS" localSheetId="0" hidden="1">'[1]ocean voyage'!#REF!</definedName>
    <definedName name="__123Graph_XWEAKNESS" hidden="1">'[1]ocean voyage'!#REF!</definedName>
    <definedName name="_Fill" localSheetId="7" hidden="1">#REF!</definedName>
    <definedName name="_Fill" localSheetId="6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Key1" localSheetId="7" hidden="1">#REF!</definedName>
    <definedName name="_Key1" localSheetId="6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7" hidden="1">#REF!</definedName>
    <definedName name="_key2" localSheetId="6" hidden="1">#REF!</definedName>
    <definedName name="_key2" localSheetId="3" hidden="1">#REF!</definedName>
    <definedName name="_key2" localSheetId="4" hidden="1">#REF!</definedName>
    <definedName name="_key2" localSheetId="8" hidden="1">#REF!</definedName>
    <definedName name="_key2" localSheetId="5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Sort" localSheetId="7" hidden="1">#REF!</definedName>
    <definedName name="_Sort" localSheetId="6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7">#REF!</definedName>
    <definedName name="a" localSheetId="6">#REF!</definedName>
    <definedName name="a" localSheetId="3">#REF!</definedName>
    <definedName name="a" localSheetId="4">#REF!</definedName>
    <definedName name="a" localSheetId="8">#REF!</definedName>
    <definedName name="a" localSheetId="5">#REF!</definedName>
    <definedName name="a" localSheetId="2">#REF!</definedName>
    <definedName name="a" localSheetId="1">#REF!</definedName>
    <definedName name="a" localSheetId="0">#REF!</definedName>
    <definedName name="a">#REF!</definedName>
    <definedName name="aaa" localSheetId="7">#REF!</definedName>
    <definedName name="aaa" localSheetId="6">#REF!</definedName>
    <definedName name="aaa" localSheetId="3">#REF!</definedName>
    <definedName name="aaa" localSheetId="4">#REF!</definedName>
    <definedName name="aaa" localSheetId="8">#REF!</definedName>
    <definedName name="aaa" localSheetId="5">#REF!</definedName>
    <definedName name="aaa" localSheetId="2">#REF!</definedName>
    <definedName name="aaa" localSheetId="1">#REF!</definedName>
    <definedName name="aaa" localSheetId="0">#REF!</definedName>
    <definedName name="aaa">#REF!</definedName>
    <definedName name="AAAAA" localSheetId="7">#REF!</definedName>
    <definedName name="AAAAA" localSheetId="6">#REF!</definedName>
    <definedName name="AAAAA" localSheetId="3">#REF!</definedName>
    <definedName name="AAAAA" localSheetId="4">#REF!</definedName>
    <definedName name="AAAAA" localSheetId="8">#REF!</definedName>
    <definedName name="AAAAA" localSheetId="5">#REF!</definedName>
    <definedName name="AAAAA" localSheetId="2">#REF!</definedName>
    <definedName name="AAAAA" localSheetId="1">#REF!</definedName>
    <definedName name="AAAAA" localSheetId="0">#REF!</definedName>
    <definedName name="AAAAA">#REF!</definedName>
    <definedName name="AS">'[2]pw dept awd'!$A$120</definedName>
    <definedName name="asd" localSheetId="6">'[3]2002'!#REF!</definedName>
    <definedName name="asd" localSheetId="3">'[3]2002'!#REF!</definedName>
    <definedName name="asd" localSheetId="4">'[3]2002'!#REF!</definedName>
    <definedName name="asd" localSheetId="8">'[3]2002'!#REF!</definedName>
    <definedName name="asd" localSheetId="5">'[3]2002'!#REF!</definedName>
    <definedName name="asd" localSheetId="2">'[3]2002'!#REF!</definedName>
    <definedName name="asd" localSheetId="1">'[3]2002'!#REF!</definedName>
    <definedName name="asd" localSheetId="0">'[3]2002'!#REF!</definedName>
    <definedName name="asd">'[3]2002'!#REF!</definedName>
    <definedName name="asdf" localSheetId="6">'[4]2002'!#REF!</definedName>
    <definedName name="asdf" localSheetId="3">'[4]2002'!#REF!</definedName>
    <definedName name="asdf" localSheetId="4">'[4]2002'!#REF!</definedName>
    <definedName name="asdf" localSheetId="8">'[4]2002'!#REF!</definedName>
    <definedName name="asdf" localSheetId="5">'[4]2002'!#REF!</definedName>
    <definedName name="asdf" localSheetId="2">'[4]2002'!#REF!</definedName>
    <definedName name="asdf" localSheetId="1">'[4]2002'!#REF!</definedName>
    <definedName name="asdf" localSheetId="0">'[4]2002'!#REF!</definedName>
    <definedName name="asdf">'[4]2002'!#REF!</definedName>
    <definedName name="Asset">'[2]pw dept awd'!$A$153</definedName>
    <definedName name="Autorent">'[2]pw dept awd'!$A$223</definedName>
    <definedName name="AVERAGE" localSheetId="7">#REF!</definedName>
    <definedName name="AVERAGE" localSheetId="6">#REF!</definedName>
    <definedName name="AVERAGE" localSheetId="3">#REF!</definedName>
    <definedName name="AVERAGE" localSheetId="4">#REF!</definedName>
    <definedName name="AVERAGE" localSheetId="8">#REF!</definedName>
    <definedName name="AVERAGE" localSheetId="5">#REF!</definedName>
    <definedName name="AVERAGE" localSheetId="2">#REF!</definedName>
    <definedName name="AVERAGE" localSheetId="1">#REF!</definedName>
    <definedName name="AVERAGE" localSheetId="0">#REF!</definedName>
    <definedName name="AVERAGE">#REF!</definedName>
    <definedName name="B" localSheetId="7">#REF!</definedName>
    <definedName name="B" localSheetId="6">#REF!</definedName>
    <definedName name="B" localSheetId="3">#REF!</definedName>
    <definedName name="B" localSheetId="4">#REF!</definedName>
    <definedName name="B" localSheetId="8">#REF!</definedName>
    <definedName name="B" localSheetId="5">#REF!</definedName>
    <definedName name="B" localSheetId="2">#REF!</definedName>
    <definedName name="B" localSheetId="1">#REF!</definedName>
    <definedName name="B" localSheetId="0">#REF!</definedName>
    <definedName name="B">#REF!</definedName>
    <definedName name="BARU">'[2]pw dept awd'!$A$40</definedName>
    <definedName name="bc" localSheetId="7" hidden="1">#REF!</definedName>
    <definedName name="bc" localSheetId="6" hidden="1">#REF!</definedName>
    <definedName name="bc" localSheetId="3" hidden="1">#REF!</definedName>
    <definedName name="bc" localSheetId="4" hidden="1">#REF!</definedName>
    <definedName name="bc" localSheetId="8" hidden="1">#REF!</definedName>
    <definedName name="bc" localSheetId="5" hidden="1">#REF!</definedName>
    <definedName name="bc" localSheetId="2" hidden="1">#REF!</definedName>
    <definedName name="bc" localSheetId="1" hidden="1">#REF!</definedName>
    <definedName name="bc" localSheetId="0" hidden="1">#REF!</definedName>
    <definedName name="bc" hidden="1">#REF!</definedName>
    <definedName name="CATDET2" localSheetId="6">'[4]2002'!#REF!</definedName>
    <definedName name="CATDET2" localSheetId="3">'[4]2002'!#REF!</definedName>
    <definedName name="CATDET2" localSheetId="4">'[4]2002'!#REF!</definedName>
    <definedName name="CATDET2" localSheetId="8">'[4]2002'!#REF!</definedName>
    <definedName name="CATDET2" localSheetId="5">'[4]2002'!#REF!</definedName>
    <definedName name="CATDET2" localSheetId="2">'[4]2002'!#REF!</definedName>
    <definedName name="CATDET2" localSheetId="1">'[4]2002'!#REF!</definedName>
    <definedName name="CATDET2" localSheetId="0">'[4]2002'!#REF!</definedName>
    <definedName name="CATDET2">'[4]2002'!#REF!</definedName>
    <definedName name="CUB42T" localSheetId="6">'[4]2002'!#REF!</definedName>
    <definedName name="CUB42T" localSheetId="3">'[4]2002'!#REF!</definedName>
    <definedName name="CUB42T" localSheetId="4">'[4]2002'!#REF!</definedName>
    <definedName name="CUB42T" localSheetId="8">'[4]2002'!#REF!</definedName>
    <definedName name="CUB42T" localSheetId="5">'[4]2002'!#REF!</definedName>
    <definedName name="CUB42T" localSheetId="2">'[4]2002'!#REF!</definedName>
    <definedName name="CUB42T" localSheetId="1">'[4]2002'!#REF!</definedName>
    <definedName name="CUB42T" localSheetId="0">'[4]2002'!#REF!</definedName>
    <definedName name="CUB42T">'[4]2002'!#REF!</definedName>
    <definedName name="D" localSheetId="7">#REF!</definedName>
    <definedName name="D" localSheetId="6">#REF!</definedName>
    <definedName name="D" localSheetId="3">#REF!</definedName>
    <definedName name="D" localSheetId="4">#REF!</definedName>
    <definedName name="D" localSheetId="8">#REF!</definedName>
    <definedName name="D" localSheetId="5">#REF!</definedName>
    <definedName name="D" localSheetId="2">#REF!</definedName>
    <definedName name="D" localSheetId="1">#REF!</definedName>
    <definedName name="D" localSheetId="0">#REF!</definedName>
    <definedName name="D">#REF!</definedName>
    <definedName name="_xlnm.Database" localSheetId="6">'[5]OPR-99'!#REF!</definedName>
    <definedName name="_xlnm.Database" localSheetId="3">'[5]OPR-99'!#REF!</definedName>
    <definedName name="_xlnm.Database" localSheetId="4">'[5]OPR-99'!#REF!</definedName>
    <definedName name="_xlnm.Database" localSheetId="8">'[5]OPR-99'!#REF!</definedName>
    <definedName name="_xlnm.Database" localSheetId="5">'[5]OPR-99'!#REF!</definedName>
    <definedName name="_xlnm.Database" localSheetId="2">'[5]OPR-99'!#REF!</definedName>
    <definedName name="_xlnm.Database" localSheetId="1">'[5]OPR-99'!#REF!</definedName>
    <definedName name="_xlnm.Database" localSheetId="0">'[5]OPR-99'!#REF!</definedName>
    <definedName name="_xlnm.Database">'[5]OPR-99'!#REF!</definedName>
    <definedName name="dd" localSheetId="7" hidden="1">#REF!</definedName>
    <definedName name="dd" localSheetId="6" hidden="1">#REF!</definedName>
    <definedName name="dd" localSheetId="3" hidden="1">#REF!</definedName>
    <definedName name="dd" localSheetId="4" hidden="1">#REF!</definedName>
    <definedName name="dd" localSheetId="8" hidden="1">#REF!</definedName>
    <definedName name="dd" localSheetId="5" hidden="1">#REF!</definedName>
    <definedName name="dd" localSheetId="2" hidden="1">#REF!</definedName>
    <definedName name="dd" localSheetId="1" hidden="1">#REF!</definedName>
    <definedName name="dd" localSheetId="0" hidden="1">#REF!</definedName>
    <definedName name="dd" hidden="1">#REF!</definedName>
    <definedName name="ddd" localSheetId="6" hidden="1">'[1]ocean voyage'!#REF!</definedName>
    <definedName name="ddd" localSheetId="3" hidden="1">'[1]ocean voyage'!#REF!</definedName>
    <definedName name="ddd" localSheetId="4" hidden="1">'[1]ocean voyage'!#REF!</definedName>
    <definedName name="ddd" localSheetId="8" hidden="1">'[1]ocean voyage'!#REF!</definedName>
    <definedName name="ddd" localSheetId="5" hidden="1">'[1]ocean voyage'!#REF!</definedName>
    <definedName name="ddd" localSheetId="2" hidden="1">'[1]ocean voyage'!#REF!</definedName>
    <definedName name="ddd" localSheetId="1" hidden="1">'[1]ocean voyage'!#REF!</definedName>
    <definedName name="ddd" localSheetId="0" hidden="1">'[1]ocean voyage'!#REF!</definedName>
    <definedName name="ddd" hidden="1">'[1]ocean voyage'!#REF!</definedName>
    <definedName name="DDDD" localSheetId="6">'[4]2002'!#REF!</definedName>
    <definedName name="DDDD" localSheetId="3">'[4]2002'!#REF!</definedName>
    <definedName name="DDDD" localSheetId="4">'[4]2002'!#REF!</definedName>
    <definedName name="DDDD" localSheetId="8">'[4]2002'!#REF!</definedName>
    <definedName name="DDDD" localSheetId="5">'[4]2002'!#REF!</definedName>
    <definedName name="DDDD" localSheetId="2">'[4]2002'!#REF!</definedName>
    <definedName name="DDDD" localSheetId="1">'[4]2002'!#REF!</definedName>
    <definedName name="DDDD" localSheetId="0">'[4]2002'!#REF!</definedName>
    <definedName name="DDDD">'[4]2002'!#REF!</definedName>
    <definedName name="DDDDD" localSheetId="7">#REF!</definedName>
    <definedName name="DDDDD" localSheetId="6">#REF!</definedName>
    <definedName name="DDDDD" localSheetId="3">#REF!</definedName>
    <definedName name="DDDDD" localSheetId="4">#REF!</definedName>
    <definedName name="DDDDD" localSheetId="8">#REF!</definedName>
    <definedName name="DDDDD" localSheetId="5">#REF!</definedName>
    <definedName name="DDDDD" localSheetId="2">#REF!</definedName>
    <definedName name="DDDDD" localSheetId="1">#REF!</definedName>
    <definedName name="DDDDD" localSheetId="0">#REF!</definedName>
    <definedName name="DDDDD">#REF!</definedName>
    <definedName name="DDHH" localSheetId="6" hidden="1">'[1]ocean voyage'!#REF!</definedName>
    <definedName name="DDHH" localSheetId="3" hidden="1">'[1]ocean voyage'!#REF!</definedName>
    <definedName name="DDHH" localSheetId="4" hidden="1">'[1]ocean voyage'!#REF!</definedName>
    <definedName name="DDHH" localSheetId="8" hidden="1">'[1]ocean voyage'!#REF!</definedName>
    <definedName name="DDHH" localSheetId="5" hidden="1">'[1]ocean voyage'!#REF!</definedName>
    <definedName name="DDHH" localSheetId="2" hidden="1">'[1]ocean voyage'!#REF!</definedName>
    <definedName name="DDHH" localSheetId="1" hidden="1">'[1]ocean voyage'!#REF!</definedName>
    <definedName name="DDHH" localSheetId="0" hidden="1">'[1]ocean voyage'!#REF!</definedName>
    <definedName name="DDHH" hidden="1">'[1]ocean voyage'!#REF!</definedName>
    <definedName name="dede" localSheetId="6" hidden="1">'[1]ocean voyage'!#REF!</definedName>
    <definedName name="dede" localSheetId="3" hidden="1">'[1]ocean voyage'!#REF!</definedName>
    <definedName name="dede" localSheetId="4" hidden="1">'[1]ocean voyage'!#REF!</definedName>
    <definedName name="dede" localSheetId="8" hidden="1">'[1]ocean voyage'!#REF!</definedName>
    <definedName name="dede" localSheetId="5" hidden="1">'[1]ocean voyage'!#REF!</definedName>
    <definedName name="dede" localSheetId="2" hidden="1">'[1]ocean voyage'!#REF!</definedName>
    <definedName name="dede" localSheetId="1" hidden="1">'[1]ocean voyage'!#REF!</definedName>
    <definedName name="dede" localSheetId="0" hidden="1">'[1]ocean voyage'!#REF!</definedName>
    <definedName name="dede" hidden="1">'[1]ocean voyage'!#REF!</definedName>
    <definedName name="DMS">'[2]pw dept awd'!$A$120</definedName>
    <definedName name="E" localSheetId="7">#REF!</definedName>
    <definedName name="E" localSheetId="6">#REF!</definedName>
    <definedName name="E" localSheetId="3">#REF!</definedName>
    <definedName name="E" localSheetId="4">#REF!</definedName>
    <definedName name="E" localSheetId="8">#REF!</definedName>
    <definedName name="E" localSheetId="5">#REF!</definedName>
    <definedName name="E" localSheetId="2">#REF!</definedName>
    <definedName name="E" localSheetId="1">#REF!</definedName>
    <definedName name="E" localSheetId="0">#REF!</definedName>
    <definedName name="E">#REF!</definedName>
    <definedName name="ER" localSheetId="7">#REF!</definedName>
    <definedName name="ER" localSheetId="6">#REF!</definedName>
    <definedName name="ER" localSheetId="3">#REF!</definedName>
    <definedName name="ER" localSheetId="4">#REF!</definedName>
    <definedName name="ER" localSheetId="8">#REF!</definedName>
    <definedName name="ER" localSheetId="5">#REF!</definedName>
    <definedName name="ER" localSheetId="2">#REF!</definedName>
    <definedName name="ER" localSheetId="1">#REF!</definedName>
    <definedName name="ER" localSheetId="0">#REF!</definedName>
    <definedName name="ER">#REF!</definedName>
    <definedName name="Excel_BuiltIn_Print_Area_1" localSheetId="7">#REF!</definedName>
    <definedName name="Excel_BuiltIn_Print_Area_1" localSheetId="6">#REF!</definedName>
    <definedName name="Excel_BuiltIn_Print_Area_1" localSheetId="3">#REF!</definedName>
    <definedName name="Excel_BuiltIn_Print_Area_1" localSheetId="4">#REF!</definedName>
    <definedName name="Excel_BuiltIn_Print_Area_1" localSheetId="8">#REF!</definedName>
    <definedName name="Excel_BuiltIn_Print_Area_1" localSheetId="5">#REF!</definedName>
    <definedName name="Excel_BuiltIn_Print_Area_1" localSheetId="2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_1" localSheetId="7">#REF!</definedName>
    <definedName name="Excel_BuiltIn_Print_Area_1_1" localSheetId="6">#REF!</definedName>
    <definedName name="Excel_BuiltIn_Print_Area_1_1" localSheetId="3">#REF!</definedName>
    <definedName name="Excel_BuiltIn_Print_Area_1_1" localSheetId="4">#REF!</definedName>
    <definedName name="Excel_BuiltIn_Print_Area_1_1" localSheetId="8">#REF!</definedName>
    <definedName name="Excel_BuiltIn_Print_Area_1_1" localSheetId="5">#REF!</definedName>
    <definedName name="Excel_BuiltIn_Print_Area_1_1" localSheetId="2">#REF!</definedName>
    <definedName name="Excel_BuiltIn_Print_Area_1_1" localSheetId="1">#REF!</definedName>
    <definedName name="Excel_BuiltIn_Print_Area_1_1" localSheetId="0">#REF!</definedName>
    <definedName name="Excel_BuiltIn_Print_Area_1_1">#REF!</definedName>
    <definedName name="Excel_BuiltIn_Print_Area_1_1_1">"$#REF!.$C$8:$I$44"</definedName>
    <definedName name="Excel_BuiltIn_Print_Area_1_5">"$#REF!.$C$8:$I$44"</definedName>
    <definedName name="Excel_BuiltIn_Print_Area_10">"$#REF!.$A$1:$H$44"</definedName>
    <definedName name="Excel_BuiltIn_Print_Area_2" localSheetId="7">#REF!</definedName>
    <definedName name="Excel_BuiltIn_Print_Area_2" localSheetId="6">#REF!</definedName>
    <definedName name="Excel_BuiltIn_Print_Area_2" localSheetId="3">#REF!</definedName>
    <definedName name="Excel_BuiltIn_Print_Area_2" localSheetId="4">#REF!</definedName>
    <definedName name="Excel_BuiltIn_Print_Area_2" localSheetId="8">#REF!</definedName>
    <definedName name="Excel_BuiltIn_Print_Area_2" localSheetId="5">#REF!</definedName>
    <definedName name="Excel_BuiltIn_Print_Area_2" localSheetId="2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_1">"$#REF!.$A$1:$M$44"</definedName>
    <definedName name="Excel_BuiltIn_Print_Area_2_1_1" localSheetId="7">#REF!</definedName>
    <definedName name="Excel_BuiltIn_Print_Area_2_1_1" localSheetId="6">#REF!</definedName>
    <definedName name="Excel_BuiltIn_Print_Area_2_1_1" localSheetId="3">#REF!</definedName>
    <definedName name="Excel_BuiltIn_Print_Area_2_1_1" localSheetId="4">#REF!</definedName>
    <definedName name="Excel_BuiltIn_Print_Area_2_1_1" localSheetId="8">#REF!</definedName>
    <definedName name="Excel_BuiltIn_Print_Area_2_1_1" localSheetId="5">#REF!</definedName>
    <definedName name="Excel_BuiltIn_Print_Area_2_1_1" localSheetId="2">#REF!</definedName>
    <definedName name="Excel_BuiltIn_Print_Area_2_1_1" localSheetId="1">#REF!</definedName>
    <definedName name="Excel_BuiltIn_Print_Area_2_1_1" localSheetId="0">#REF!</definedName>
    <definedName name="Excel_BuiltIn_Print_Area_2_1_1">#REF!</definedName>
    <definedName name="Excel_BuiltIn_Print_Area_2_1_2" localSheetId="7">#REF!</definedName>
    <definedName name="Excel_BuiltIn_Print_Area_2_1_2" localSheetId="6">#REF!</definedName>
    <definedName name="Excel_BuiltIn_Print_Area_2_1_2" localSheetId="3">#REF!</definedName>
    <definedName name="Excel_BuiltIn_Print_Area_2_1_2" localSheetId="4">#REF!</definedName>
    <definedName name="Excel_BuiltIn_Print_Area_2_1_2" localSheetId="8">#REF!</definedName>
    <definedName name="Excel_BuiltIn_Print_Area_2_1_2" localSheetId="5">#REF!</definedName>
    <definedName name="Excel_BuiltIn_Print_Area_2_1_2" localSheetId="2">#REF!</definedName>
    <definedName name="Excel_BuiltIn_Print_Area_2_1_2" localSheetId="1">#REF!</definedName>
    <definedName name="Excel_BuiltIn_Print_Area_2_1_2" localSheetId="0">#REF!</definedName>
    <definedName name="Excel_BuiltIn_Print_Area_2_1_2">#REF!</definedName>
    <definedName name="Excel_BuiltIn_Print_Area_2_2">"$#REF!.$C$3:$L$44"</definedName>
    <definedName name="Excel_BuiltIn_Print_Area_3" localSheetId="7">#REF!</definedName>
    <definedName name="Excel_BuiltIn_Print_Area_3" localSheetId="6">#REF!</definedName>
    <definedName name="Excel_BuiltIn_Print_Area_3" localSheetId="3">#REF!</definedName>
    <definedName name="Excel_BuiltIn_Print_Area_3" localSheetId="4">#REF!</definedName>
    <definedName name="Excel_BuiltIn_Print_Area_3" localSheetId="8">#REF!</definedName>
    <definedName name="Excel_BuiltIn_Print_Area_3" localSheetId="5">#REF!</definedName>
    <definedName name="Excel_BuiltIn_Print_Area_3" localSheetId="2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3_1" localSheetId="7">#REF!</definedName>
    <definedName name="Excel_BuiltIn_Print_Area_3_1" localSheetId="6">#REF!</definedName>
    <definedName name="Excel_BuiltIn_Print_Area_3_1" localSheetId="3">#REF!</definedName>
    <definedName name="Excel_BuiltIn_Print_Area_3_1" localSheetId="4">#REF!</definedName>
    <definedName name="Excel_BuiltIn_Print_Area_3_1" localSheetId="8">#REF!</definedName>
    <definedName name="Excel_BuiltIn_Print_Area_3_1" localSheetId="5">#REF!</definedName>
    <definedName name="Excel_BuiltIn_Print_Area_3_1" localSheetId="2">#REF!</definedName>
    <definedName name="Excel_BuiltIn_Print_Area_3_1" localSheetId="1">#REF!</definedName>
    <definedName name="Excel_BuiltIn_Print_Area_3_1" localSheetId="0">#REF!</definedName>
    <definedName name="Excel_BuiltIn_Print_Area_3_1">#REF!</definedName>
    <definedName name="Excel_BuiltIn_Print_Area_3_1_9" localSheetId="7">#REF!</definedName>
    <definedName name="Excel_BuiltIn_Print_Area_3_1_9" localSheetId="6">#REF!</definedName>
    <definedName name="Excel_BuiltIn_Print_Area_3_1_9" localSheetId="3">#REF!</definedName>
    <definedName name="Excel_BuiltIn_Print_Area_3_1_9" localSheetId="4">#REF!</definedName>
    <definedName name="Excel_BuiltIn_Print_Area_3_1_9" localSheetId="8">#REF!</definedName>
    <definedName name="Excel_BuiltIn_Print_Area_3_1_9" localSheetId="5">#REF!</definedName>
    <definedName name="Excel_BuiltIn_Print_Area_3_1_9" localSheetId="2">#REF!</definedName>
    <definedName name="Excel_BuiltIn_Print_Area_3_1_9" localSheetId="1">#REF!</definedName>
    <definedName name="Excel_BuiltIn_Print_Area_3_1_9" localSheetId="0">#REF!</definedName>
    <definedName name="Excel_BuiltIn_Print_Area_3_1_9">#REF!</definedName>
    <definedName name="Excel_BuiltIn_Print_Area_4">"$#REF!.$C$8:$I$44"</definedName>
    <definedName name="Excel_BuiltIn_Print_Area_4_1" localSheetId="7">#REF!</definedName>
    <definedName name="Excel_BuiltIn_Print_Area_4_1" localSheetId="6">#REF!</definedName>
    <definedName name="Excel_BuiltIn_Print_Area_4_1" localSheetId="3">#REF!</definedName>
    <definedName name="Excel_BuiltIn_Print_Area_4_1" localSheetId="4">#REF!</definedName>
    <definedName name="Excel_BuiltIn_Print_Area_4_1" localSheetId="8">#REF!</definedName>
    <definedName name="Excel_BuiltIn_Print_Area_4_1" localSheetId="5">#REF!</definedName>
    <definedName name="Excel_BuiltIn_Print_Area_4_1" localSheetId="2">#REF!</definedName>
    <definedName name="Excel_BuiltIn_Print_Area_4_1" localSheetId="1">#REF!</definedName>
    <definedName name="Excel_BuiltIn_Print_Area_4_1" localSheetId="0">#REF!</definedName>
    <definedName name="Excel_BuiltIn_Print_Area_4_1">#REF!</definedName>
    <definedName name="Excel_BuiltIn_Print_Area_4_1_1" localSheetId="7">#REF!</definedName>
    <definedName name="Excel_BuiltIn_Print_Area_4_1_1" localSheetId="6">#REF!</definedName>
    <definedName name="Excel_BuiltIn_Print_Area_4_1_1" localSheetId="3">#REF!</definedName>
    <definedName name="Excel_BuiltIn_Print_Area_4_1_1" localSheetId="4">#REF!</definedName>
    <definedName name="Excel_BuiltIn_Print_Area_4_1_1" localSheetId="8">#REF!</definedName>
    <definedName name="Excel_BuiltIn_Print_Area_4_1_1" localSheetId="5">#REF!</definedName>
    <definedName name="Excel_BuiltIn_Print_Area_4_1_1" localSheetId="2">#REF!</definedName>
    <definedName name="Excel_BuiltIn_Print_Area_4_1_1" localSheetId="1">#REF!</definedName>
    <definedName name="Excel_BuiltIn_Print_Area_4_1_1" localSheetId="0">#REF!</definedName>
    <definedName name="Excel_BuiltIn_Print_Area_4_1_1">#REF!</definedName>
    <definedName name="Excel_BuiltIn_Print_Area_5">"$#REF!.$A$1:$J$44"</definedName>
    <definedName name="Excel_BuiltIn_Print_Area_6">"$#REF!.$A$1:$J$44"</definedName>
    <definedName name="Excel_BuiltIn_Print_Area_7">"$#REF!.$A$1:$J$44"</definedName>
    <definedName name="Excel_BuiltIn_Print_Area_8">"$#REF!.$A$1:$J$44"</definedName>
    <definedName name="Excel_BuiltIn_Print_Area_9">"$#REF!.$A$1:$J$44"</definedName>
    <definedName name="Excel_BuiltIn_Print_Titles_1" localSheetId="7">#REF!</definedName>
    <definedName name="Excel_BuiltIn_Print_Titles_1" localSheetId="6">#REF!</definedName>
    <definedName name="Excel_BuiltIn_Print_Titles_1" localSheetId="3">#REF!</definedName>
    <definedName name="Excel_BuiltIn_Print_Titles_1" localSheetId="4">#REF!</definedName>
    <definedName name="Excel_BuiltIn_Print_Titles_1" localSheetId="8">#REF!</definedName>
    <definedName name="Excel_BuiltIn_Print_Titles_1" localSheetId="5">#REF!</definedName>
    <definedName name="Excel_BuiltIn_Print_Titles_1" localSheetId="2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_1" localSheetId="7">#REF!</definedName>
    <definedName name="Excel_BuiltIn_Print_Titles_1_1" localSheetId="6">#REF!</definedName>
    <definedName name="Excel_BuiltIn_Print_Titles_1_1" localSheetId="3">#REF!</definedName>
    <definedName name="Excel_BuiltIn_Print_Titles_1_1" localSheetId="4">#REF!</definedName>
    <definedName name="Excel_BuiltIn_Print_Titles_1_1" localSheetId="8">#REF!</definedName>
    <definedName name="Excel_BuiltIn_Print_Titles_1_1" localSheetId="5">#REF!</definedName>
    <definedName name="Excel_BuiltIn_Print_Titles_1_1" localSheetId="2">#REF!</definedName>
    <definedName name="Excel_BuiltIn_Print_Titles_1_1" localSheetId="1">#REF!</definedName>
    <definedName name="Excel_BuiltIn_Print_Titles_1_1" localSheetId="0">#REF!</definedName>
    <definedName name="Excel_BuiltIn_Print_Titles_1_1">#REF!</definedName>
    <definedName name="Excel_BuiltIn_Print_Titles_4" localSheetId="7">#REF!</definedName>
    <definedName name="Excel_BuiltIn_Print_Titles_4" localSheetId="6">#REF!</definedName>
    <definedName name="Excel_BuiltIn_Print_Titles_4" localSheetId="3">#REF!</definedName>
    <definedName name="Excel_BuiltIn_Print_Titles_4" localSheetId="4">#REF!</definedName>
    <definedName name="Excel_BuiltIn_Print_Titles_4" localSheetId="8">#REF!</definedName>
    <definedName name="Excel_BuiltIn_Print_Titles_4" localSheetId="5">#REF!</definedName>
    <definedName name="Excel_BuiltIn_Print_Titles_4" localSheetId="2">#REF!</definedName>
    <definedName name="Excel_BuiltIn_Print_Titles_4" localSheetId="1">#REF!</definedName>
    <definedName name="Excel_BuiltIn_Print_Titles_4" localSheetId="0">#REF!</definedName>
    <definedName name="Excel_BuiltIn_Print_Titles_4">#REF!</definedName>
    <definedName name="f" localSheetId="6">#REF!</definedName>
    <definedName name="f" localSheetId="4">#REF!</definedName>
    <definedName name="f" localSheetId="8">#REF!</definedName>
    <definedName name="f" localSheetId="5">#REF!</definedName>
    <definedName name="f" localSheetId="2">#REF!</definedName>
    <definedName name="f">#REF!</definedName>
    <definedName name="FD" localSheetId="7">#REF!</definedName>
    <definedName name="FD" localSheetId="6">#REF!</definedName>
    <definedName name="FD" localSheetId="3">#REF!</definedName>
    <definedName name="FD" localSheetId="4">#REF!</definedName>
    <definedName name="FD" localSheetId="8">#REF!</definedName>
    <definedName name="FD" localSheetId="5">#REF!</definedName>
    <definedName name="FD" localSheetId="2">#REF!</definedName>
    <definedName name="FD" localSheetId="1">#REF!</definedName>
    <definedName name="FD" localSheetId="0">#REF!</definedName>
    <definedName name="FD">#REF!</definedName>
    <definedName name="FFF" localSheetId="7" hidden="1">#REF!</definedName>
    <definedName name="FFF" localSheetId="6" hidden="1">#REF!</definedName>
    <definedName name="FFF" localSheetId="3" hidden="1">#REF!</definedName>
    <definedName name="FFF" localSheetId="4" hidden="1">#REF!</definedName>
    <definedName name="FFF" localSheetId="8" hidden="1">#REF!</definedName>
    <definedName name="FFF" localSheetId="5" hidden="1">#REF!</definedName>
    <definedName name="FFF" localSheetId="2" hidden="1">#REF!</definedName>
    <definedName name="FFF" localSheetId="1" hidden="1">#REF!</definedName>
    <definedName name="FFF" localSheetId="0" hidden="1">#REF!</definedName>
    <definedName name="FFF" hidden="1">#REF!</definedName>
    <definedName name="FFFF" localSheetId="7">#REF!</definedName>
    <definedName name="FFFF" localSheetId="6">#REF!</definedName>
    <definedName name="FFFF" localSheetId="3">#REF!</definedName>
    <definedName name="FFFF" localSheetId="4">#REF!</definedName>
    <definedName name="FFFF" localSheetId="8">#REF!</definedName>
    <definedName name="FFFF" localSheetId="5">#REF!</definedName>
    <definedName name="FFFF" localSheetId="2">#REF!</definedName>
    <definedName name="FFFF" localSheetId="1">#REF!</definedName>
    <definedName name="FFFF" localSheetId="0">#REF!</definedName>
    <definedName name="FFFF">#REF!</definedName>
    <definedName name="Finance">'[2]pw dept awd'!$A$135</definedName>
    <definedName name="G" localSheetId="7">#REF!</definedName>
    <definedName name="G" localSheetId="6">#REF!</definedName>
    <definedName name="G" localSheetId="3">#REF!</definedName>
    <definedName name="G" localSheetId="4">#REF!</definedName>
    <definedName name="G" localSheetId="8">#REF!</definedName>
    <definedName name="G" localSheetId="5">#REF!</definedName>
    <definedName name="G" localSheetId="2">#REF!</definedName>
    <definedName name="G" localSheetId="1">#REF!</definedName>
    <definedName name="G" localSheetId="0">#REF!</definedName>
    <definedName name="G">#REF!</definedName>
    <definedName name="GA">'[2]pw dept awd'!$A$82</definedName>
    <definedName name="GGGG" localSheetId="7">#REF!</definedName>
    <definedName name="GGGG" localSheetId="6">#REF!</definedName>
    <definedName name="GGGG" localSheetId="3">#REF!</definedName>
    <definedName name="GGGG" localSheetId="4">#REF!</definedName>
    <definedName name="GGGG" localSheetId="8">#REF!</definedName>
    <definedName name="GGGG" localSheetId="5">#REF!</definedName>
    <definedName name="GGGG" localSheetId="2">#REF!</definedName>
    <definedName name="GGGG" localSheetId="1">#REF!</definedName>
    <definedName name="GGGG" localSheetId="0">#REF!</definedName>
    <definedName name="GGGG">#REF!</definedName>
    <definedName name="gRAPH" localSheetId="7">#REF!</definedName>
    <definedName name="gRAPH" localSheetId="6">#REF!</definedName>
    <definedName name="gRAPH" localSheetId="3">#REF!</definedName>
    <definedName name="gRAPH" localSheetId="4">#REF!</definedName>
    <definedName name="gRAPH" localSheetId="8">#REF!</definedName>
    <definedName name="gRAPH" localSheetId="5">#REF!</definedName>
    <definedName name="gRAPH" localSheetId="2">#REF!</definedName>
    <definedName name="gRAPH" localSheetId="1">#REF!</definedName>
    <definedName name="gRAPH" localSheetId="0">#REF!</definedName>
    <definedName name="gRAPH">#REF!</definedName>
    <definedName name="HRD">'[2]pw dept awd'!$A$61</definedName>
    <definedName name="IPP_OM_Result" localSheetId="7" hidden="1">#REF!</definedName>
    <definedName name="IPP_OM_Result" localSheetId="6" hidden="1">#REF!</definedName>
    <definedName name="IPP_OM_Result" localSheetId="3" hidden="1">#REF!</definedName>
    <definedName name="IPP_OM_Result" localSheetId="4" hidden="1">#REF!</definedName>
    <definedName name="IPP_OM_Result" localSheetId="8" hidden="1">#REF!</definedName>
    <definedName name="IPP_OM_Result" localSheetId="5" hidden="1">#REF!</definedName>
    <definedName name="IPP_OM_Result" localSheetId="2" hidden="1">#REF!</definedName>
    <definedName name="IPP_OM_Result" localSheetId="1" hidden="1">#REF!</definedName>
    <definedName name="IPP_OM_Result" localSheetId="0" hidden="1">#REF!</definedName>
    <definedName name="IPP_OM_Result" hidden="1">#REF!</definedName>
    <definedName name="IT">'[2]pw dept awd'!$A$171</definedName>
    <definedName name="JIMAN" localSheetId="7">#REF!</definedName>
    <definedName name="JIMAN" localSheetId="6">#REF!</definedName>
    <definedName name="JIMAN" localSheetId="3">#REF!</definedName>
    <definedName name="JIMAN" localSheetId="4">#REF!</definedName>
    <definedName name="JIMAN" localSheetId="8">#REF!</definedName>
    <definedName name="JIMAN" localSheetId="5">#REF!</definedName>
    <definedName name="JIMAN" localSheetId="2">#REF!</definedName>
    <definedName name="JIMAN" localSheetId="1">#REF!</definedName>
    <definedName name="JIMAN" localSheetId="0">#REF!</definedName>
    <definedName name="JIMAN">#REF!</definedName>
    <definedName name="JIMAN1" localSheetId="7">#REF!</definedName>
    <definedName name="JIMAN1" localSheetId="6">#REF!</definedName>
    <definedName name="JIMAN1" localSheetId="3">#REF!</definedName>
    <definedName name="JIMAN1" localSheetId="4">#REF!</definedName>
    <definedName name="JIMAN1" localSheetId="8">#REF!</definedName>
    <definedName name="JIMAN1" localSheetId="5">#REF!</definedName>
    <definedName name="JIMAN1" localSheetId="2">#REF!</definedName>
    <definedName name="JIMAN1" localSheetId="1">#REF!</definedName>
    <definedName name="JIMAN1" localSheetId="0">#REF!</definedName>
    <definedName name="JIMAN1">#REF!</definedName>
    <definedName name="k">'[6]pw dept awd'!$A$40</definedName>
    <definedName name="Legal">'[2]pw dept awd'!$A$102</definedName>
    <definedName name="lkugyvt">'[6]pw dept awd'!$A$8</definedName>
    <definedName name="Logistic">'[2]pw dept awd'!$A$208</definedName>
    <definedName name="Marcomm">'[2]pw dept awd'!$A$8</definedName>
    <definedName name="Marketing">'[2]pw dept awd'!$A$189</definedName>
    <definedName name="mps_april01" localSheetId="7">#REF!</definedName>
    <definedName name="mps_april01" localSheetId="6">#REF!</definedName>
    <definedName name="mps_april01" localSheetId="3">#REF!</definedName>
    <definedName name="mps_april01" localSheetId="4">#REF!</definedName>
    <definedName name="mps_april01" localSheetId="8">#REF!</definedName>
    <definedName name="mps_april01" localSheetId="5">#REF!</definedName>
    <definedName name="mps_april01" localSheetId="2">#REF!</definedName>
    <definedName name="mps_april01" localSheetId="1">#REF!</definedName>
    <definedName name="mps_april01" localSheetId="0">#REF!</definedName>
    <definedName name="mps_april01">#REF!</definedName>
    <definedName name="OD">'[2]pw dept awd'!$A$24</definedName>
    <definedName name="Operation">'[2]pw dept awd'!$A$40</definedName>
    <definedName name="print" localSheetId="7">#REF!</definedName>
    <definedName name="print" localSheetId="6">#REF!</definedName>
    <definedName name="print" localSheetId="3">#REF!</definedName>
    <definedName name="print" localSheetId="4">#REF!</definedName>
    <definedName name="print" localSheetId="8">#REF!</definedName>
    <definedName name="print" localSheetId="5">#REF!</definedName>
    <definedName name="print" localSheetId="2">#REF!</definedName>
    <definedName name="print" localSheetId="1">#REF!</definedName>
    <definedName name="print" localSheetId="0">#REF!</definedName>
    <definedName name="print">#REF!</definedName>
    <definedName name="_xlnm.Print_Area" localSheetId="7">'Man Power'!$A$1:$AH$48</definedName>
    <definedName name="_xlnm.Print_Area" localSheetId="9">'Planning Man Power'!$A$1:$X$68</definedName>
    <definedName name="_xlnm.Print_Area" localSheetId="6">'Schedule (If EVA Delay)'!$A$1:$AU$47</definedName>
    <definedName name="_xlnm.Print_Area" localSheetId="3">'Schedule Production (1)'!$A$1:$AU$47</definedName>
    <definedName name="_xlnm.Print_Area" localSheetId="4">'Schedule Production (2)'!$A$1:$AU$47</definedName>
    <definedName name="_xlnm.Print_Area" localSheetId="8">'Schedule Production (4)'!$A$1:$AU$47</definedName>
    <definedName name="_xlnm.Print_Area" localSheetId="5">'Schedule Production (Original)'!$A$1:$AU$47</definedName>
    <definedName name="_xlnm.Print_Area" localSheetId="2">#REF!</definedName>
    <definedName name="_xlnm.Print_Area" localSheetId="1">#REF!</definedName>
    <definedName name="_xlnm.Print_Area" localSheetId="0">'Valterra Schdule'!$A$1:$CS$65</definedName>
    <definedName name="_xlnm.Print_Area">#REF!</definedName>
    <definedName name="PRINT_AREA_MI" localSheetId="7">#REF!</definedName>
    <definedName name="PRINT_AREA_MI" localSheetId="6">#REF!</definedName>
    <definedName name="PRINT_AREA_MI" localSheetId="3">#REF!</definedName>
    <definedName name="PRINT_AREA_MI" localSheetId="4">#REF!</definedName>
    <definedName name="PRINT_AREA_MI" localSheetId="8">#REF!</definedName>
    <definedName name="PRINT_AREA_MI" localSheetId="5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Print_Title" localSheetId="7">#REF!</definedName>
    <definedName name="Print_Title" localSheetId="6">#REF!</definedName>
    <definedName name="Print_Title" localSheetId="3">#REF!</definedName>
    <definedName name="Print_Title" localSheetId="4">#REF!</definedName>
    <definedName name="Print_Title" localSheetId="8">#REF!</definedName>
    <definedName name="Print_Title" localSheetId="5">#REF!</definedName>
    <definedName name="Print_Title" localSheetId="2">#REF!</definedName>
    <definedName name="Print_Title" localSheetId="1">#REF!</definedName>
    <definedName name="Print_Title" localSheetId="0">#REF!</definedName>
    <definedName name="Print_Title">#REF!</definedName>
    <definedName name="putu" localSheetId="7">#REF!</definedName>
    <definedName name="putu" localSheetId="6">#REF!</definedName>
    <definedName name="putu" localSheetId="3">#REF!</definedName>
    <definedName name="putu" localSheetId="4">#REF!</definedName>
    <definedName name="putu" localSheetId="8">#REF!</definedName>
    <definedName name="putu" localSheetId="5">#REF!</definedName>
    <definedName name="putu" localSheetId="2">#REF!</definedName>
    <definedName name="putu" localSheetId="1">#REF!</definedName>
    <definedName name="putu" localSheetId="0">#REF!</definedName>
    <definedName name="putu">#REF!</definedName>
    <definedName name="Q">'[2]pw dept awd'!$A$153</definedName>
    <definedName name="RE" localSheetId="7">#REF!</definedName>
    <definedName name="RE" localSheetId="6">#REF!</definedName>
    <definedName name="RE" localSheetId="3">#REF!</definedName>
    <definedName name="RE" localSheetId="4">#REF!</definedName>
    <definedName name="RE" localSheetId="8">#REF!</definedName>
    <definedName name="RE" localSheetId="5">#REF!</definedName>
    <definedName name="RE" localSheetId="2">#REF!</definedName>
    <definedName name="RE" localSheetId="1">#REF!</definedName>
    <definedName name="RE" localSheetId="0">#REF!</definedName>
    <definedName name="RE">#REF!</definedName>
    <definedName name="Sekretaris">'[2]pw dept awd'!$A$243</definedName>
    <definedName name="SPO42T" localSheetId="6">'[4]2002'!#REF!</definedName>
    <definedName name="SPO42T" localSheetId="3">'[4]2002'!#REF!</definedName>
    <definedName name="SPO42T" localSheetId="4">'[4]2002'!#REF!</definedName>
    <definedName name="SPO42T" localSheetId="8">'[4]2002'!#REF!</definedName>
    <definedName name="SPO42T" localSheetId="5">'[4]2002'!#REF!</definedName>
    <definedName name="SPO42T" localSheetId="2">'[4]2002'!#REF!</definedName>
    <definedName name="SPO42T" localSheetId="1">'[4]2002'!#REF!</definedName>
    <definedName name="SPO42T" localSheetId="0">'[4]2002'!#REF!</definedName>
    <definedName name="SPO42T">'[4]2002'!#REF!</definedName>
    <definedName name="TY" localSheetId="7">#REF!</definedName>
    <definedName name="TY" localSheetId="6">#REF!</definedName>
    <definedName name="TY" localSheetId="3">#REF!</definedName>
    <definedName name="TY" localSheetId="4">#REF!</definedName>
    <definedName name="TY" localSheetId="8">#REF!</definedName>
    <definedName name="TY" localSheetId="5">#REF!</definedName>
    <definedName name="TY" localSheetId="2">#REF!</definedName>
    <definedName name="TY" localSheetId="1">#REF!</definedName>
    <definedName name="TY" localSheetId="0">#REF!</definedName>
    <definedName name="TY">#REF!</definedName>
    <definedName name="W" localSheetId="7">#REF!</definedName>
    <definedName name="W" localSheetId="6">#REF!</definedName>
    <definedName name="W" localSheetId="3">#REF!</definedName>
    <definedName name="W" localSheetId="4">#REF!</definedName>
    <definedName name="W" localSheetId="8">#REF!</definedName>
    <definedName name="W" localSheetId="5">#REF!</definedName>
    <definedName name="W" localSheetId="2">#REF!</definedName>
    <definedName name="W" localSheetId="1">#REF!</definedName>
    <definedName name="W" localSheetId="0">#REF!</definedName>
    <definedName name="W">#REF!</definedName>
    <definedName name="WW" localSheetId="7">#REF!</definedName>
    <definedName name="WW" localSheetId="6">#REF!</definedName>
    <definedName name="WW" localSheetId="3">#REF!</definedName>
    <definedName name="WW" localSheetId="4">#REF!</definedName>
    <definedName name="WW" localSheetId="8">#REF!</definedName>
    <definedName name="WW" localSheetId="5">#REF!</definedName>
    <definedName name="WW" localSheetId="2">#REF!</definedName>
    <definedName name="WW" localSheetId="1">#REF!</definedName>
    <definedName name="WW" localSheetId="0">#REF!</definedName>
    <definedName name="WW">#REF!</definedName>
    <definedName name="WWW" localSheetId="7">#REF!</definedName>
    <definedName name="WWW" localSheetId="6">#REF!</definedName>
    <definedName name="WWW" localSheetId="3">#REF!</definedName>
    <definedName name="WWW" localSheetId="4">#REF!</definedName>
    <definedName name="WWW" localSheetId="8">#REF!</definedName>
    <definedName name="WWW" localSheetId="5">#REF!</definedName>
    <definedName name="WWW" localSheetId="2">#REF!</definedName>
    <definedName name="WWW" localSheetId="1">#REF!</definedName>
    <definedName name="WWW" localSheetId="0">#REF!</definedName>
    <definedName name="WWW">#REF!</definedName>
    <definedName name="WWWW" localSheetId="7">#REF!</definedName>
    <definedName name="WWWW" localSheetId="6">#REF!</definedName>
    <definedName name="WWWW" localSheetId="3">#REF!</definedName>
    <definedName name="WWWW" localSheetId="4">#REF!</definedName>
    <definedName name="WWWW" localSheetId="8">#REF!</definedName>
    <definedName name="WWWW" localSheetId="5">#REF!</definedName>
    <definedName name="WWWW" localSheetId="2">#REF!</definedName>
    <definedName name="WWWW" localSheetId="1">#REF!</definedName>
    <definedName name="WWWW" localSheetId="0">#REF!</definedName>
    <definedName name="WWWW">#REF!</definedName>
    <definedName name="WWWWW" localSheetId="7">#REF!</definedName>
    <definedName name="WWWWW" localSheetId="6">#REF!</definedName>
    <definedName name="WWWWW" localSheetId="3">#REF!</definedName>
    <definedName name="WWWWW" localSheetId="4">#REF!</definedName>
    <definedName name="WWWWW" localSheetId="8">#REF!</definedName>
    <definedName name="WWWWW" localSheetId="5">#REF!</definedName>
    <definedName name="WWWWW" localSheetId="2">#REF!</definedName>
    <definedName name="WWWWW" localSheetId="1">#REF!</definedName>
    <definedName name="WWWWW" localSheetId="0">#REF!</definedName>
    <definedName name="WWWW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" i="13" l="1"/>
  <c r="O78" i="13"/>
  <c r="O77" i="13"/>
  <c r="O76" i="13"/>
  <c r="O75" i="13"/>
  <c r="O89" i="13" s="1"/>
  <c r="O74" i="13"/>
  <c r="O88" i="13" s="1"/>
  <c r="N71" i="13"/>
  <c r="F71" i="13" s="1"/>
  <c r="O63" i="13"/>
  <c r="O69" i="13" s="1"/>
  <c r="O62" i="13"/>
  <c r="O68" i="13" s="1"/>
  <c r="O61" i="13"/>
  <c r="O60" i="13"/>
  <c r="O59" i="13"/>
  <c r="O58" i="13"/>
  <c r="O57" i="13"/>
  <c r="O56" i="13"/>
  <c r="O55" i="13"/>
  <c r="O67" i="13" s="1"/>
  <c r="O54" i="13"/>
  <c r="O66" i="13" s="1"/>
  <c r="N51" i="13"/>
  <c r="F51" i="13"/>
  <c r="O49" i="13"/>
  <c r="O40" i="13"/>
  <c r="O39" i="13"/>
  <c r="O48" i="13" s="1"/>
  <c r="O38" i="13"/>
  <c r="O37" i="13"/>
  <c r="O36" i="13"/>
  <c r="O35" i="13"/>
  <c r="O34" i="13"/>
  <c r="O33" i="13"/>
  <c r="O45" i="13" s="1"/>
  <c r="O32" i="13"/>
  <c r="O46" i="13" s="1"/>
  <c r="O31" i="13"/>
  <c r="N28" i="13"/>
  <c r="F28" i="13" s="1"/>
  <c r="AR25" i="13"/>
  <c r="O17" i="13"/>
  <c r="O16" i="13"/>
  <c r="O15" i="13"/>
  <c r="O14" i="13"/>
  <c r="O13" i="13"/>
  <c r="O12" i="13"/>
  <c r="O11" i="13"/>
  <c r="O10" i="13"/>
  <c r="O22" i="13" s="1"/>
  <c r="O9" i="13"/>
  <c r="O23" i="13" s="1"/>
  <c r="O8" i="13"/>
  <c r="N5" i="13"/>
  <c r="F5" i="13"/>
  <c r="U112" i="8" l="1"/>
  <c r="O79" i="12" l="1"/>
  <c r="O78" i="12"/>
  <c r="O77" i="12"/>
  <c r="O76" i="12"/>
  <c r="O75" i="12"/>
  <c r="O74" i="12"/>
  <c r="O88" i="12" s="1"/>
  <c r="N71" i="12"/>
  <c r="F71" i="12" s="1"/>
  <c r="O63" i="12"/>
  <c r="O62" i="12"/>
  <c r="O61" i="12"/>
  <c r="O60" i="12"/>
  <c r="O59" i="12"/>
  <c r="O58" i="12"/>
  <c r="O57" i="12"/>
  <c r="O56" i="12"/>
  <c r="O55" i="12"/>
  <c r="O54" i="12"/>
  <c r="N51" i="12"/>
  <c r="F51" i="12" s="1"/>
  <c r="AS46" i="12"/>
  <c r="O40" i="12"/>
  <c r="O39" i="12"/>
  <c r="O38" i="12"/>
  <c r="O37" i="12"/>
  <c r="O36" i="12"/>
  <c r="O35" i="12"/>
  <c r="O34" i="12"/>
  <c r="O33" i="12"/>
  <c r="O32" i="12"/>
  <c r="O31" i="12"/>
  <c r="N28" i="12"/>
  <c r="F28" i="12" s="1"/>
  <c r="O17" i="12"/>
  <c r="O16" i="12"/>
  <c r="O15" i="12"/>
  <c r="O14" i="12"/>
  <c r="O13" i="12"/>
  <c r="O12" i="12"/>
  <c r="O11" i="12"/>
  <c r="O10" i="12"/>
  <c r="O9" i="12"/>
  <c r="O8" i="12"/>
  <c r="N5" i="12"/>
  <c r="F5" i="12" s="1"/>
  <c r="O48" i="12" l="1"/>
  <c r="O45" i="12"/>
  <c r="O22" i="12"/>
  <c r="O89" i="12"/>
  <c r="O23" i="12"/>
  <c r="O67" i="12"/>
  <c r="O49" i="12"/>
  <c r="O66" i="12"/>
  <c r="O46" i="12"/>
  <c r="U54" i="2" l="1"/>
  <c r="X54" i="2" s="1"/>
  <c r="T40" i="2"/>
  <c r="O79" i="11"/>
  <c r="O78" i="11"/>
  <c r="O77" i="11"/>
  <c r="O76" i="11"/>
  <c r="O75" i="11"/>
  <c r="O74" i="11"/>
  <c r="N71" i="11"/>
  <c r="F71" i="11" s="1"/>
  <c r="O63" i="11"/>
  <c r="O62" i="11"/>
  <c r="O61" i="11"/>
  <c r="O60" i="11"/>
  <c r="O59" i="11"/>
  <c r="O58" i="11"/>
  <c r="O57" i="11"/>
  <c r="O56" i="11"/>
  <c r="O55" i="11"/>
  <c r="O54" i="11"/>
  <c r="N51" i="11"/>
  <c r="F51" i="11" s="1"/>
  <c r="O40" i="11"/>
  <c r="O39" i="11"/>
  <c r="O38" i="11"/>
  <c r="O37" i="11"/>
  <c r="O36" i="11"/>
  <c r="O35" i="11"/>
  <c r="O34" i="11"/>
  <c r="O33" i="11"/>
  <c r="O32" i="11"/>
  <c r="O31" i="11"/>
  <c r="N28" i="11"/>
  <c r="F28" i="11" s="1"/>
  <c r="O22" i="11"/>
  <c r="O17" i="11"/>
  <c r="O16" i="11"/>
  <c r="O15" i="11"/>
  <c r="O14" i="11"/>
  <c r="O13" i="11"/>
  <c r="O12" i="11"/>
  <c r="O11" i="11"/>
  <c r="O10" i="11"/>
  <c r="O9" i="11"/>
  <c r="O8" i="11"/>
  <c r="N5" i="11"/>
  <c r="F5" i="11"/>
  <c r="O88" i="11" l="1"/>
  <c r="O89" i="11"/>
  <c r="O23" i="11"/>
  <c r="O67" i="11"/>
  <c r="O49" i="11"/>
  <c r="O66" i="11"/>
  <c r="O48" i="11"/>
  <c r="O45" i="11"/>
  <c r="O46" i="11"/>
  <c r="O79" i="9"/>
  <c r="O78" i="9"/>
  <c r="O39" i="9"/>
  <c r="O36" i="9"/>
  <c r="O38" i="9"/>
  <c r="O37" i="9"/>
  <c r="O35" i="9"/>
  <c r="AS46" i="9" l="1"/>
  <c r="O56" i="9"/>
  <c r="O57" i="9"/>
  <c r="O58" i="9"/>
  <c r="O59" i="9"/>
  <c r="O60" i="9"/>
  <c r="O61" i="9"/>
  <c r="O62" i="9"/>
  <c r="O63" i="9"/>
  <c r="Z41" i="2" l="1"/>
  <c r="Z40" i="2"/>
  <c r="T39" i="2"/>
  <c r="T50" i="2" s="1"/>
  <c r="O77" i="9"/>
  <c r="O76" i="9"/>
  <c r="O75" i="9"/>
  <c r="O74" i="9"/>
  <c r="N71" i="9"/>
  <c r="F71" i="9" s="1"/>
  <c r="O55" i="9"/>
  <c r="O67" i="9" s="1"/>
  <c r="O54" i="9"/>
  <c r="O66" i="9" s="1"/>
  <c r="N51" i="9"/>
  <c r="F51" i="9" s="1"/>
  <c r="O40" i="9"/>
  <c r="O34" i="9"/>
  <c r="O33" i="9"/>
  <c r="O32" i="9"/>
  <c r="O31" i="9"/>
  <c r="N28" i="9"/>
  <c r="F28" i="9" s="1"/>
  <c r="O17" i="9"/>
  <c r="O16" i="9"/>
  <c r="O15" i="9"/>
  <c r="O14" i="9"/>
  <c r="O13" i="9"/>
  <c r="O12" i="9"/>
  <c r="O11" i="9"/>
  <c r="O10" i="9"/>
  <c r="O9" i="9"/>
  <c r="O8" i="9"/>
  <c r="N5" i="9"/>
  <c r="F5" i="9" s="1"/>
  <c r="O48" i="8"/>
  <c r="AC42" i="8"/>
  <c r="AB42" i="8"/>
  <c r="AA42" i="8"/>
  <c r="Z42" i="8"/>
  <c r="Y42" i="8"/>
  <c r="X42" i="8"/>
  <c r="W42" i="8"/>
  <c r="V42" i="8"/>
  <c r="U42" i="8"/>
  <c r="S42" i="8"/>
  <c r="R42" i="8"/>
  <c r="Q42" i="8"/>
  <c r="P42" i="8"/>
  <c r="O42" i="8"/>
  <c r="AE41" i="8"/>
  <c r="AB39" i="2" l="1"/>
  <c r="AC39" i="2" s="1"/>
  <c r="O22" i="9"/>
  <c r="O23" i="9"/>
  <c r="AE42" i="8"/>
  <c r="AE104" i="8" s="1"/>
  <c r="O88" i="9"/>
  <c r="O89" i="9"/>
  <c r="O46" i="9"/>
  <c r="O45" i="9"/>
  <c r="AD26" i="2"/>
  <c r="T45" i="2" l="1"/>
  <c r="AD16" i="2"/>
  <c r="AD13" i="2"/>
  <c r="AD10" i="2"/>
  <c r="AD17" i="2" s="1"/>
  <c r="U45" i="2"/>
  <c r="U47" i="2" s="1"/>
  <c r="O40" i="6"/>
  <c r="O39" i="6"/>
  <c r="O48" i="7"/>
  <c r="AC42" i="7"/>
  <c r="AB42" i="7"/>
  <c r="AA42" i="7"/>
  <c r="Z42" i="7"/>
  <c r="Y42" i="7"/>
  <c r="X42" i="7"/>
  <c r="W42" i="7"/>
  <c r="V42" i="7"/>
  <c r="U42" i="7"/>
  <c r="S42" i="7"/>
  <c r="R42" i="7"/>
  <c r="Q42" i="7"/>
  <c r="P42" i="7"/>
  <c r="O42" i="7"/>
  <c r="AE41" i="7"/>
  <c r="N5" i="6"/>
  <c r="F5" i="6" s="1"/>
  <c r="O8" i="6"/>
  <c r="O9" i="6"/>
  <c r="O10" i="6"/>
  <c r="O11" i="6"/>
  <c r="O12" i="6"/>
  <c r="O13" i="6"/>
  <c r="O14" i="6"/>
  <c r="O15" i="6"/>
  <c r="O16" i="6"/>
  <c r="O17" i="6"/>
  <c r="N28" i="6"/>
  <c r="F28" i="6" s="1"/>
  <c r="O31" i="6"/>
  <c r="O32" i="6"/>
  <c r="O33" i="6"/>
  <c r="O34" i="6"/>
  <c r="O35" i="6"/>
  <c r="O36" i="6"/>
  <c r="O37" i="6"/>
  <c r="O38" i="6"/>
  <c r="O46" i="6"/>
  <c r="N51" i="6"/>
  <c r="F51" i="6" s="1"/>
  <c r="O54" i="6"/>
  <c r="O55" i="6"/>
  <c r="O56" i="6"/>
  <c r="O57" i="6"/>
  <c r="O58" i="6"/>
  <c r="O59" i="6"/>
  <c r="O60" i="6"/>
  <c r="O61" i="6"/>
  <c r="O62" i="6"/>
  <c r="O63" i="6"/>
  <c r="N73" i="6"/>
  <c r="F73" i="6" s="1"/>
  <c r="O76" i="6"/>
  <c r="O77" i="6"/>
  <c r="O78" i="6"/>
  <c r="O79" i="6"/>
  <c r="O80" i="6"/>
  <c r="O81" i="6"/>
  <c r="O23" i="6" l="1"/>
  <c r="O45" i="6"/>
  <c r="O22" i="6"/>
  <c r="AE42" i="7"/>
  <c r="AE104" i="7" s="1"/>
  <c r="O91" i="6"/>
  <c r="O90" i="6"/>
  <c r="O69" i="6"/>
  <c r="O68" i="6"/>
  <c r="U63" i="5" l="1"/>
  <c r="U62" i="5"/>
  <c r="U61" i="5"/>
  <c r="U60" i="5"/>
  <c r="U59" i="5"/>
  <c r="U58" i="5"/>
  <c r="U57" i="5"/>
  <c r="U56" i="5"/>
  <c r="U55" i="5"/>
  <c r="U54" i="5"/>
  <c r="U53" i="5"/>
  <c r="U52" i="5"/>
  <c r="U51" i="5"/>
  <c r="U46" i="5"/>
  <c r="U45" i="5"/>
  <c r="U44" i="5"/>
  <c r="U43" i="5"/>
  <c r="U42" i="5"/>
  <c r="U41" i="5"/>
  <c r="U40" i="5"/>
  <c r="U39" i="5"/>
  <c r="U38" i="5"/>
  <c r="U37" i="5"/>
  <c r="U36" i="5"/>
  <c r="U35" i="5"/>
  <c r="U30" i="5"/>
  <c r="U29" i="5"/>
  <c r="U28" i="5"/>
  <c r="U27" i="5"/>
  <c r="U26" i="5"/>
  <c r="U25" i="5"/>
  <c r="U24" i="5"/>
  <c r="U19" i="5"/>
  <c r="U18" i="5"/>
  <c r="U17" i="5"/>
  <c r="U16" i="5"/>
  <c r="U15" i="5"/>
  <c r="U14" i="5"/>
  <c r="U13" i="5"/>
  <c r="U12" i="5"/>
  <c r="U11" i="5"/>
  <c r="U10" i="5"/>
  <c r="U9" i="5"/>
  <c r="U8" i="5"/>
  <c r="U65" i="5" s="1"/>
  <c r="K51" i="5"/>
  <c r="K35" i="5"/>
  <c r="K24" i="5"/>
  <c r="K8" i="5"/>
  <c r="K65" i="5" s="1"/>
  <c r="T42" i="2" l="1"/>
  <c r="T41" i="2"/>
  <c r="U41" i="2" s="1"/>
  <c r="U40" i="2"/>
  <c r="L41" i="2"/>
  <c r="L40" i="2"/>
  <c r="L39" i="2"/>
  <c r="S42" i="2" s="1"/>
  <c r="L43" i="2"/>
  <c r="L42" i="2"/>
  <c r="U42" i="2" l="1"/>
  <c r="Z42" i="2"/>
  <c r="V24" i="2"/>
  <c r="M24" i="2"/>
  <c r="V8" i="2"/>
  <c r="M8" i="2"/>
  <c r="L45" i="2" l="1"/>
  <c r="M39" i="2" l="1"/>
  <c r="S39" i="2"/>
  <c r="U39" i="2" l="1"/>
  <c r="U43" i="2" s="1"/>
  <c r="Z39" i="2"/>
  <c r="Z43" i="2" s="1"/>
  <c r="AF25" i="2"/>
  <c r="AG25" i="2" s="1"/>
  <c r="AC43" i="2"/>
  <c r="AC44" i="2" s="1"/>
  <c r="AF24" i="2"/>
  <c r="AG24" i="2" s="1"/>
  <c r="AF8" i="2"/>
  <c r="AG8" i="2" s="1"/>
  <c r="AF11" i="2"/>
  <c r="AG11" i="2" s="1"/>
  <c r="AF14" i="2"/>
  <c r="AG14" i="2" s="1"/>
  <c r="AF12" i="2"/>
  <c r="AG12" i="2" s="1"/>
  <c r="AF15" i="2"/>
  <c r="AG15" i="2" s="1"/>
  <c r="AF9" i="2"/>
  <c r="AG9" i="2" s="1"/>
  <c r="AG26" i="2" l="1"/>
  <c r="AG27" i="2" s="1"/>
  <c r="AG16" i="2"/>
  <c r="AG13" i="2"/>
  <c r="AG10" i="2"/>
  <c r="AG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Yutio Sapnanda</author>
  </authors>
  <commentList>
    <comment ref="U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WIP w/o J-Box</t>
        </r>
      </text>
    </comment>
    <comment ref="X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Incoming Check, Instalation J-Box &amp; Packing Box</t>
        </r>
      </text>
    </comment>
    <comment ref="Y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1 Finish</t>
        </r>
      </text>
    </comment>
    <comment ref="Y1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2</t>
        </r>
      </text>
    </comment>
    <comment ref="AP2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 "Al Isra Wal Miraj Prophet Mohammad SAW's Miraculous Journey". </t>
        </r>
      </text>
    </comment>
    <comment ref="AR2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Chinese New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Yutio Sapnanda</author>
  </authors>
  <commentList>
    <comment ref="U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WIP w/o J-Box</t>
        </r>
      </text>
    </comment>
    <comment ref="X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Incoming Check, Instalation J-Box &amp; Packing Box</t>
        </r>
      </text>
    </comment>
    <comment ref="Y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1 Finish</t>
        </r>
      </text>
    </comment>
    <comment ref="Y10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2</t>
        </r>
      </text>
    </comment>
    <comment ref="AP29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 "Al Isra Wal Miraj Prophet Mohammad SAW's Miraculous Journey". </t>
        </r>
      </text>
    </comment>
    <comment ref="AR29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Chinese New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Yutio Sapnanda</author>
  </authors>
  <commentList>
    <comment ref="U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WIP w/o J-Box</t>
        </r>
      </text>
    </comment>
    <comment ref="X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Incoming Check, Instalation J-Box &amp; Packing Box</t>
        </r>
      </text>
    </comment>
    <comment ref="Y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1 Finish</t>
        </r>
      </text>
    </comment>
    <comment ref="Y10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2</t>
        </r>
      </text>
    </comment>
    <comment ref="AP2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 xml:space="preserve"> "Al Isra Wal Miraj Prophet Mohammad SAW's Miraculous Journey". </t>
        </r>
      </text>
    </comment>
    <comment ref="AR2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Chinese New Year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Yutio Sapnanda</author>
  </authors>
  <commentList>
    <comment ref="U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WIP w/o J-Box</t>
        </r>
      </text>
    </comment>
    <comment ref="X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Incoming Check, Instalation J-Box &amp; Packing Box</t>
        </r>
      </text>
    </comment>
    <comment ref="Y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1 Finish</t>
        </r>
      </text>
    </comment>
    <comment ref="Y1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2</t>
        </r>
      </text>
    </comment>
    <comment ref="AE29" authorId="0" shapeId="0" xr:uid="{00000000-0006-0000-0600-000005000000}">
      <text>
        <r>
          <rPr>
            <b/>
            <sz val="9"/>
            <color indexed="81"/>
            <rFont val="Tahoma"/>
            <charset val="1"/>
          </rPr>
          <t>Yutio Sapnanda:</t>
        </r>
        <r>
          <rPr>
            <sz val="9"/>
            <color indexed="81"/>
            <rFont val="Tahoma"/>
            <charset val="1"/>
          </rPr>
          <t xml:space="preserve">
ETA Port JKT 16 Mar (Sveck)
ETA SKY, 17 Mar (Afternoon)</t>
        </r>
      </text>
    </comment>
    <comment ref="AL29" authorId="0" shapeId="0" xr:uid="{00000000-0006-0000-0600-000006000000}">
      <text>
        <r>
          <rPr>
            <b/>
            <sz val="9"/>
            <color indexed="81"/>
            <rFont val="Tahoma"/>
            <charset val="1"/>
          </rPr>
          <t>Yutio Sapnanda:</t>
        </r>
        <r>
          <rPr>
            <sz val="9"/>
            <color indexed="81"/>
            <rFont val="Tahoma"/>
            <charset val="1"/>
          </rPr>
          <t xml:space="preserve">
ETA 18 Mar 
(Boujun)</t>
        </r>
      </text>
    </comment>
    <comment ref="AP29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 xml:space="preserve"> "Al Isra Wal Miraj Prophet Mohammad SAW's Miraculous Journey". </t>
        </r>
      </text>
    </comment>
    <comment ref="AR29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Chinese New Year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Yutio Sapnanda</author>
  </authors>
  <commentList>
    <comment ref="U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WIP w/o J-Box</t>
        </r>
      </text>
    </comment>
    <comment ref="X8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Incoming Check, Instalation J-Box &amp; Packing Box</t>
        </r>
      </text>
    </comment>
    <comment ref="Y8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1 Finish</t>
        </r>
      </text>
    </comment>
    <comment ref="Y10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Yutio Sapnanda:</t>
        </r>
        <r>
          <rPr>
            <sz val="9"/>
            <color indexed="81"/>
            <rFont val="Tahoma"/>
            <family val="2"/>
          </rPr>
          <t xml:space="preserve">
Shift 2</t>
        </r>
      </text>
    </comment>
    <comment ref="AP29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 xml:space="preserve"> "Al Isra Wal Miraj Prophet Mohammad SAW's Miraculous Journey". </t>
        </r>
      </text>
    </comment>
    <comment ref="AR2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Chinese New Year</t>
        </r>
      </text>
    </comment>
  </commentList>
</comments>
</file>

<file path=xl/sharedStrings.xml><?xml version="1.0" encoding="utf-8"?>
<sst xmlns="http://schemas.openxmlformats.org/spreadsheetml/2006/main" count="2998" uniqueCount="360">
  <si>
    <t>j</t>
  </si>
  <si>
    <t>Summary Delivery Schedule</t>
  </si>
  <si>
    <t>Customer : Valterra</t>
  </si>
  <si>
    <t>No.</t>
  </si>
  <si>
    <t>Panel</t>
    <phoneticPr fontId="0"/>
  </si>
  <si>
    <t>Quantity</t>
    <phoneticPr fontId="0"/>
  </si>
  <si>
    <t>Oct-25</t>
  </si>
  <si>
    <t>Nov-25</t>
  </si>
  <si>
    <t>Material 800 Pcs 295W</t>
  </si>
  <si>
    <t>40</t>
  </si>
  <si>
    <t>41</t>
  </si>
  <si>
    <t>42</t>
  </si>
  <si>
    <t>44</t>
  </si>
  <si>
    <t>45</t>
  </si>
  <si>
    <t>46</t>
  </si>
  <si>
    <t>47</t>
  </si>
  <si>
    <t>43</t>
  </si>
  <si>
    <t>IconGreen</t>
  </si>
  <si>
    <t>295W Panel</t>
  </si>
  <si>
    <t>Materials</t>
  </si>
  <si>
    <t>Detail</t>
  </si>
  <si>
    <t>Amount</t>
  </si>
  <si>
    <t>Due Date</t>
  </si>
  <si>
    <t>24 Oct</t>
  </si>
  <si>
    <t>295W Module</t>
  </si>
  <si>
    <t>PIB+Penalty</t>
  </si>
  <si>
    <t>31 Oct</t>
  </si>
  <si>
    <t>This week</t>
  </si>
  <si>
    <t>Potting Gel</t>
  </si>
  <si>
    <t>PIB</t>
  </si>
  <si>
    <t>Beg Nov</t>
  </si>
  <si>
    <t>Masterbox</t>
  </si>
  <si>
    <t xml:space="preserve">DP </t>
  </si>
  <si>
    <t>Feb 20th Schedule</t>
  </si>
  <si>
    <t>Internal No</t>
  </si>
  <si>
    <t>PO</t>
  </si>
  <si>
    <t>PO Qty</t>
  </si>
  <si>
    <t>Month</t>
    <phoneticPr fontId="0"/>
  </si>
  <si>
    <t>Feb-26</t>
  </si>
  <si>
    <t>Mar-26</t>
  </si>
  <si>
    <t>Week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</si>
  <si>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</si>
  <si>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</si>
  <si>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</si>
  <si>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</si>
  <si>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</si>
  <si>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</si>
  <si>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</si>
  <si>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</si>
  <si>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</si>
  <si>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</si>
  <si>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</si>
  <si>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</si>
  <si>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</si>
  <si>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</si>
  <si>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</si>
  <si>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</si>
  <si>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</si>
  <si>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</si>
  <si>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</si>
  <si>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</si>
  <si>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</si>
  <si>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</si>
  <si>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Valterra</t>
  </si>
  <si>
    <t>PO609684</t>
  </si>
  <si>
    <t>50W</t>
  </si>
  <si>
    <t>Qty</t>
  </si>
  <si>
    <t>Eid Al-Fitr Holiday</t>
  </si>
  <si>
    <t>Date</t>
  </si>
  <si>
    <t>14 Feb</t>
  </si>
  <si>
    <t>21 Feb</t>
  </si>
  <si>
    <t>End Feb</t>
  </si>
  <si>
    <t>PO609804</t>
  </si>
  <si>
    <t>35W</t>
  </si>
  <si>
    <t>16 Jan</t>
  </si>
  <si>
    <t>24 Jan</t>
  </si>
  <si>
    <t>5 Feb</t>
  </si>
  <si>
    <t>13 Feb</t>
  </si>
  <si>
    <t>PO609784</t>
  </si>
  <si>
    <t>1st Week</t>
  </si>
  <si>
    <t>PO609820</t>
  </si>
  <si>
    <t>2nd Week</t>
  </si>
  <si>
    <t>End Mar</t>
  </si>
  <si>
    <t>PO609880</t>
  </si>
  <si>
    <t>PO609614</t>
  </si>
  <si>
    <t>110W</t>
  </si>
  <si>
    <t>PO609900</t>
  </si>
  <si>
    <t>3rd Week</t>
  </si>
  <si>
    <t>PO609915</t>
  </si>
  <si>
    <t>End Apr</t>
  </si>
  <si>
    <t>30W 3 Diode</t>
  </si>
  <si>
    <t>PO609926</t>
  </si>
  <si>
    <t>PO609945</t>
  </si>
  <si>
    <t>Schedule</t>
  </si>
  <si>
    <t>Status</t>
  </si>
  <si>
    <t>Oct</t>
  </si>
  <si>
    <t>Nov</t>
  </si>
  <si>
    <t>W1</t>
  </si>
  <si>
    <t>W3</t>
  </si>
  <si>
    <t>W4</t>
  </si>
  <si>
    <t>W2</t>
  </si>
  <si>
    <t>J-Leaf 295 Wp (1,500 pcs)</t>
  </si>
  <si>
    <t>Material Procurement</t>
  </si>
  <si>
    <t>TBC</t>
  </si>
  <si>
    <t>Delivery Raw Material</t>
  </si>
  <si>
    <t>Production</t>
  </si>
  <si>
    <t>Delivery to CMWI</t>
  </si>
  <si>
    <t>Feb 10th Schedule</t>
  </si>
  <si>
    <t>Feb 4th Schedule</t>
  </si>
  <si>
    <t xml:space="preserve"> </t>
  </si>
  <si>
    <t>Paid</t>
  </si>
  <si>
    <t>MONITORING PLANNING</t>
  </si>
  <si>
    <t>LABOR COST</t>
  </si>
  <si>
    <t>FEBRUARY 2026</t>
  </si>
  <si>
    <t>Apendix 3</t>
  </si>
  <si>
    <t>No</t>
  </si>
  <si>
    <t>Customers</t>
  </si>
  <si>
    <t>No PO</t>
  </si>
  <si>
    <t>Direct Labor</t>
  </si>
  <si>
    <t>S</t>
  </si>
  <si>
    <t>M</t>
  </si>
  <si>
    <t>T</t>
  </si>
  <si>
    <t>W</t>
  </si>
  <si>
    <t>F</t>
  </si>
  <si>
    <t>Total</t>
  </si>
  <si>
    <t>Station</t>
  </si>
  <si>
    <t>Process</t>
  </si>
  <si>
    <t>VALTERRA</t>
  </si>
  <si>
    <t>▪</t>
  </si>
  <si>
    <t>Preparation</t>
  </si>
  <si>
    <t>Sortr Cell &amp; Cutting Cell</t>
  </si>
  <si>
    <t>Cutting Eva &amp; Backsheet</t>
  </si>
  <si>
    <t>Cutting Ribbon &amp; Busbar</t>
  </si>
  <si>
    <t>Assembling Junction Box</t>
  </si>
  <si>
    <t>Soldering</t>
  </si>
  <si>
    <t>Series Soldering</t>
  </si>
  <si>
    <t>73907 - F</t>
  </si>
  <si>
    <t>Lay - Up (Assymbling Module)</t>
  </si>
  <si>
    <t>82882-C</t>
  </si>
  <si>
    <t>Inspection Quality</t>
  </si>
  <si>
    <t>EL - Test</t>
  </si>
  <si>
    <t>Visual Check</t>
  </si>
  <si>
    <t>Laminating</t>
  </si>
  <si>
    <t>Laminated Process</t>
  </si>
  <si>
    <t>Application Protection Film</t>
  </si>
  <si>
    <t>Assymbling</t>
  </si>
  <si>
    <t>Cutting Module &amp; Instalasi Grommet</t>
  </si>
  <si>
    <t>Instalasi Junction Box</t>
  </si>
  <si>
    <t>Test IV (Sunsimulator)</t>
  </si>
  <si>
    <t>Coating Process</t>
  </si>
  <si>
    <t>Application Potting gell</t>
  </si>
  <si>
    <t>Finishing Process</t>
  </si>
  <si>
    <t>Cleaning,Last Inspection, Labeling &amp; Application Buble Wrap</t>
  </si>
  <si>
    <t>Packing Process</t>
  </si>
  <si>
    <t>Packing Product</t>
  </si>
  <si>
    <t>Additional Man Power</t>
  </si>
  <si>
    <t>Permanent Employed</t>
  </si>
  <si>
    <t>Quality Control</t>
  </si>
  <si>
    <t>Daily Employed</t>
  </si>
  <si>
    <t>Engineering</t>
  </si>
  <si>
    <t>Maintenance</t>
  </si>
  <si>
    <t>Shift 1</t>
  </si>
  <si>
    <t>Shift 2</t>
  </si>
  <si>
    <t>Non Shift</t>
  </si>
  <si>
    <t>Shift 1 &amp; 2</t>
  </si>
  <si>
    <t>Leader Production (Permanent)</t>
  </si>
  <si>
    <t>PPIC</t>
  </si>
  <si>
    <t>Officer Production (Daily)</t>
  </si>
  <si>
    <t>Quality Process Shift 1 (Daily)</t>
  </si>
  <si>
    <t>Quality Process Shift 2 (Daily)</t>
  </si>
  <si>
    <t>Officer Quality Control (Daily)</t>
  </si>
  <si>
    <t>Maintenace Shift 1 (Daily)</t>
  </si>
  <si>
    <t>Maintenance Shift 2 (Daily)</t>
  </si>
  <si>
    <t>Engineering Field (Daily)</t>
  </si>
  <si>
    <t>Officer Engineering (Daily)</t>
  </si>
  <si>
    <t>Officer PPIC (Daily)</t>
  </si>
  <si>
    <t>Raw Material (Daily)</t>
  </si>
  <si>
    <t>Man Power</t>
  </si>
  <si>
    <t>Officer</t>
  </si>
  <si>
    <t>Leader</t>
  </si>
  <si>
    <t>Quality</t>
  </si>
  <si>
    <t>Raw Material</t>
  </si>
  <si>
    <r>
      <rPr>
        <b/>
        <sz val="16"/>
        <color theme="1"/>
        <rFont val="Aptos Narrow"/>
        <charset val="1"/>
      </rPr>
      <t xml:space="preserve">▪  </t>
    </r>
    <r>
      <rPr>
        <b/>
        <u/>
        <sz val="16"/>
        <color theme="1"/>
        <rFont val="Aptos Narrow"/>
        <charset val="1"/>
      </rPr>
      <t>Calculation Cost</t>
    </r>
  </si>
  <si>
    <t>:</t>
  </si>
  <si>
    <t>1. Man Power</t>
  </si>
  <si>
    <t>2. Leader QC &amp; MTC</t>
  </si>
  <si>
    <t>3. Officer Engineering (Daily)</t>
  </si>
  <si>
    <t>+</t>
  </si>
  <si>
    <t>Company</t>
    <phoneticPr fontId="0"/>
  </si>
  <si>
    <t>Salary Payment</t>
  </si>
  <si>
    <t>Working Day</t>
  </si>
  <si>
    <t>Cost</t>
  </si>
  <si>
    <t>February 2026</t>
  </si>
  <si>
    <t>MASTER PLANNING SCHEDULE</t>
  </si>
  <si>
    <t>Idle :</t>
  </si>
  <si>
    <t>Normal Days :</t>
  </si>
  <si>
    <t>Working Days :</t>
  </si>
  <si>
    <t>Detailed Product</t>
  </si>
  <si>
    <t>Qty
(Order)</t>
  </si>
  <si>
    <t>Production Process</t>
  </si>
  <si>
    <t>Total
Plan</t>
  </si>
  <si>
    <t>Type</t>
  </si>
  <si>
    <t>Label</t>
  </si>
  <si>
    <t>Wp</t>
  </si>
  <si>
    <t>73907-F</t>
  </si>
  <si>
    <t>THERMOKING</t>
  </si>
  <si>
    <t>Prepration - Cutting Laser Module</t>
  </si>
  <si>
    <t>Instalation Junction Box - Packaging Process</t>
  </si>
  <si>
    <t>NAVIGATOR</t>
  </si>
  <si>
    <t>00609880</t>
  </si>
  <si>
    <t>35W (PO.9804)</t>
  </si>
  <si>
    <t>50W (PO.9684)</t>
  </si>
  <si>
    <t>35W (PO.9804 &amp; 9820)</t>
  </si>
  <si>
    <t>450 PCS (US)</t>
  </si>
  <si>
    <t>540 pcs (IRE)</t>
  </si>
  <si>
    <t>(IRE)</t>
  </si>
  <si>
    <t>March 2026</t>
  </si>
  <si>
    <t>35W (PO.9820)</t>
  </si>
  <si>
    <t>April 2026</t>
  </si>
  <si>
    <t>83060-B</t>
  </si>
  <si>
    <t>DOMETIC</t>
  </si>
  <si>
    <t>00609900</t>
  </si>
  <si>
    <t>00609915</t>
  </si>
  <si>
    <t>00609926</t>
  </si>
  <si>
    <t>May 2026</t>
  </si>
  <si>
    <t>00609945</t>
  </si>
  <si>
    <t>Total IDR :</t>
  </si>
  <si>
    <t>4. Permanent Employed</t>
  </si>
  <si>
    <t>10 + 320 PCS (US)</t>
  </si>
  <si>
    <t>420 pcs</t>
  </si>
  <si>
    <t>180 PCS</t>
  </si>
  <si>
    <t>(US)</t>
  </si>
  <si>
    <t>Man Power Name</t>
  </si>
  <si>
    <t>MAN POWER</t>
  </si>
  <si>
    <t>Prepared by,</t>
  </si>
  <si>
    <t>Checking by,</t>
  </si>
  <si>
    <t>Approved by</t>
  </si>
  <si>
    <t>Aulia</t>
  </si>
  <si>
    <t>Resti</t>
  </si>
  <si>
    <t>Dede</t>
  </si>
  <si>
    <t>Raw Material (Permanent)</t>
  </si>
  <si>
    <t>Mulyadi</t>
  </si>
  <si>
    <t>Felix</t>
  </si>
  <si>
    <t>Ayu N</t>
  </si>
  <si>
    <t>Tika</t>
  </si>
  <si>
    <t>Roura</t>
  </si>
  <si>
    <t>Tita</t>
  </si>
  <si>
    <t>Sandi</t>
  </si>
  <si>
    <t>Ali</t>
  </si>
  <si>
    <t>Yulianti P</t>
  </si>
  <si>
    <t>Dhean A</t>
  </si>
  <si>
    <t>Hairul R</t>
  </si>
  <si>
    <t>Total Plan Man Power :</t>
  </si>
  <si>
    <t>Total Man Power :</t>
  </si>
  <si>
    <t>26 - 28 FEBRUARY 2026</t>
  </si>
  <si>
    <t>5.</t>
  </si>
  <si>
    <t>00609804
(No.6)</t>
  </si>
  <si>
    <t>00609684
(No.5)</t>
  </si>
  <si>
    <t>00609820
(Part 1)
(No.8)</t>
  </si>
  <si>
    <t>00609820
(Part 2)
(No.8)</t>
  </si>
  <si>
    <t>00609784
(No.7)</t>
  </si>
  <si>
    <t>00609820
(Part 3)
(No.8)</t>
  </si>
  <si>
    <t>00609614
(No.4)</t>
  </si>
  <si>
    <t>00609880
(No.9)</t>
  </si>
  <si>
    <r>
      <rPr>
        <b/>
        <sz val="16"/>
        <color theme="1"/>
        <rFont val="Aptos Narrow"/>
        <charset val="1"/>
      </rPr>
      <t xml:space="preserve">▪  </t>
    </r>
    <r>
      <rPr>
        <b/>
        <u/>
        <sz val="16"/>
        <color theme="1"/>
        <rFont val="Aptos Narrow"/>
        <charset val="1"/>
      </rPr>
      <t>Cost for Overtime (Saturday)</t>
    </r>
  </si>
  <si>
    <t>TBD</t>
  </si>
  <si>
    <t>Calculation Cost</t>
  </si>
  <si>
    <t>Valterra Project</t>
  </si>
  <si>
    <t>Days</t>
  </si>
  <si>
    <t>Shift</t>
  </si>
  <si>
    <t>Man 
Power</t>
  </si>
  <si>
    <t>Month</t>
  </si>
  <si>
    <t>March</t>
  </si>
  <si>
    <t>a.</t>
  </si>
  <si>
    <t>Normal Days</t>
  </si>
  <si>
    <t>b.</t>
  </si>
  <si>
    <t>Saturday</t>
  </si>
  <si>
    <t>1. Permanent Employed</t>
  </si>
  <si>
    <t>/ Day</t>
  </si>
  <si>
    <t>Total :</t>
  </si>
  <si>
    <t>2.</t>
  </si>
  <si>
    <t>April</t>
  </si>
  <si>
    <t>3.</t>
  </si>
  <si>
    <t>May</t>
  </si>
  <si>
    <t>Grand Total :</t>
  </si>
  <si>
    <t>Monday - Friday</t>
  </si>
  <si>
    <t>50W (PO.9684 &amp; 9784)</t>
  </si>
  <si>
    <t>40 + 140 PCS</t>
  </si>
  <si>
    <t>VALTERRA PROJECT</t>
  </si>
  <si>
    <t>PLANNING ARRIVAL MATERIAL &amp; DELIVERY PRODUCT</t>
  </si>
  <si>
    <t>Material Arrange</t>
  </si>
  <si>
    <t>January</t>
  </si>
  <si>
    <t>February</t>
  </si>
  <si>
    <t>Payment Material</t>
  </si>
  <si>
    <t>Production Material (Supplier)</t>
  </si>
  <si>
    <t>Delivery Material</t>
  </si>
  <si>
    <t>Arrival Material</t>
  </si>
  <si>
    <t>Incoming Check Material</t>
  </si>
  <si>
    <t>Detailed Project Order</t>
  </si>
  <si>
    <t>Order</t>
  </si>
  <si>
    <t>PO.9684</t>
  </si>
  <si>
    <t>No.5</t>
  </si>
  <si>
    <t>Delivery Product :</t>
  </si>
  <si>
    <t>PO.9784</t>
  </si>
  <si>
    <t>No.7</t>
  </si>
  <si>
    <t>PO.9820</t>
  </si>
  <si>
    <t>No.8</t>
  </si>
  <si>
    <t>1 Diode</t>
  </si>
  <si>
    <t>3 Diode</t>
  </si>
  <si>
    <t>PO.9880</t>
  </si>
  <si>
    <t>No.9</t>
  </si>
  <si>
    <t>PO.9614</t>
  </si>
  <si>
    <t>No.4</t>
  </si>
  <si>
    <t>PO.9900</t>
  </si>
  <si>
    <t>No.10</t>
  </si>
  <si>
    <t>PO.9915</t>
  </si>
  <si>
    <t>No.11</t>
  </si>
  <si>
    <t>PO.9926</t>
  </si>
  <si>
    <t>No.12</t>
  </si>
  <si>
    <t>PO.9945</t>
  </si>
  <si>
    <t>No.13</t>
  </si>
  <si>
    <t>Note :</t>
  </si>
  <si>
    <t>540 pcs</t>
  </si>
  <si>
    <t>180 pcs</t>
  </si>
  <si>
    <t>140 pcs</t>
  </si>
  <si>
    <t>40 pcs</t>
  </si>
  <si>
    <t>360 pcs</t>
  </si>
  <si>
    <t>500 pcs</t>
  </si>
  <si>
    <t>1350 pcs</t>
  </si>
  <si>
    <t>440 PCS</t>
  </si>
  <si>
    <t>420 PCS</t>
  </si>
  <si>
    <t>210 PCS</t>
  </si>
  <si>
    <t>1000 PCS</t>
  </si>
  <si>
    <t>1500 PCS</t>
  </si>
  <si>
    <t>June</t>
  </si>
  <si>
    <t>Sea</t>
  </si>
  <si>
    <t>Air</t>
  </si>
  <si>
    <t>TPT 35W 2100</t>
  </si>
  <si>
    <t>All Material Import</t>
  </si>
  <si>
    <t>PO.9820, 9880, 9614 &amp; 9915</t>
  </si>
  <si>
    <t>PO.9900,9926 &amp; 9945</t>
  </si>
  <si>
    <t>00609914</t>
  </si>
  <si>
    <t>540 PCS</t>
  </si>
  <si>
    <t>50W PO.9784</t>
  </si>
  <si>
    <t>35W PO.9820</t>
  </si>
  <si>
    <t>Upah Harian (8 Jam)</t>
  </si>
  <si>
    <t>Tunjangan Sif</t>
  </si>
  <si>
    <t>Uang Makan</t>
  </si>
  <si>
    <t>HK</t>
  </si>
  <si>
    <t>900 pcs</t>
  </si>
  <si>
    <t>Updated :</t>
  </si>
  <si>
    <t>Update, 10 March 2026</t>
  </si>
  <si>
    <t>50W (PO.9784)</t>
  </si>
  <si>
    <t>Note :
Delivery for 50W PO.9784
1. Pickup, Sunday 29th March &amp; Freight 30 March
2. Pickup Monday 30th March &amp; Freight 31 March</t>
  </si>
  <si>
    <t>800 pcs</t>
  </si>
  <si>
    <t>1000 pcs</t>
  </si>
  <si>
    <t>50W (PO.9880)</t>
  </si>
  <si>
    <t>50W (PO.9900)</t>
  </si>
  <si>
    <t>35W (PO.9915)</t>
  </si>
  <si>
    <t>2000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</si>
</sst>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[$Rp-421]#,##0"/>
    <numFmt numFmtId="168" formatCode="_-[$Rp-3809]* #,##0.00_-;\-[$Rp-3809]* #,##0.00_-;_-[$Rp-3809]* &quot;-&quot;??_-;_-@_-"/>
    <numFmt numFmtId="169" formatCode="_-\ #,##0_-;\-\ #,##0_-;_-* &quot;-&quot;_-;_-@_-"/>
    <numFmt numFmtId="170" formatCode="_-* #,##0_-;\-* #,##0_-;_-* &quot;-&quot;??_-;_-@_-"/>
    <numFmt numFmtId="171" formatCode="_-[$Rp-421]* #,##0.00_-;\-[$Rp-421]* #,##0.00_-;_-[$Rp-421]* &quot;-&quot;??_-;_-@_-"/>
    <numFmt numFmtId="172" formatCode="_-[$$-409]* #,##0.00_ ;_-[$$-409]* \-#,##0.00\ ;_-[$$-409]* &quot;-&quot;??_ ;_-@_ "/>
    <numFmt numFmtId="173" formatCode="#,##0\ &quot;Days&quot;;[Red]\-#,##0"/>
    <numFmt numFmtId="174" formatCode="_-#,##0.00_-;\-#,##0.00_-;_-* &quot;-&quot;_-;_-@_-"/>
    <numFmt numFmtId="175" formatCode="_-#,##0.00_-;\-* #,##0.00_-;_-* &quot;-&quot;??_-;_-@_-"/>
    <numFmt numFmtId="176" formatCode="_-* #,##0.00_-;\-* #,##0.00_-;_-* &quot;-&quot;_-;_-@_-"/>
    <numFmt numFmtId="177" formatCode="_-* #,##0.0000_-;\-* #,##0.0000_-;_-* &quot;-&quot;_-;_-@_-"/>
    <numFmt numFmtId="178" formatCode="_-#,##0.00_-;\-#,##0.00_-;_-* &quot;-&quot;??_-;_-@_-"/>
    <numFmt numFmtId="179" formatCode="_-#,##0_-;\-#,##0_-;_-* &quot;-&quot;??_-;_-@_-"/>
    <numFmt numFmtId="180" formatCode="[$-409]d\-mmm;@"/>
    <numFmt numFmtId="181" formatCode="_-* #,##0\ &quot;PCS&quot;_-;\-* #,##0_-;_-* &quot;-&quot;_-;_-@_-"/>
    <numFmt numFmtId="182" formatCode="_-\ #,##0\ &quot;WP&quot;_-;\-* #,##0_-;_-* &quot;-&quot;_-;_-@_-"/>
    <numFmt numFmtId="183" formatCode="#,##0\ &quot;PCS&quot;"/>
    <numFmt numFmtId="184" formatCode="[$-409]mmm\-yy;@"/>
    <numFmt numFmtId="185" formatCode="[$-409]dd\-mmm\-yy;@"/>
  </numFmts>
  <fonts count="50">
    <font>
      <sz val="16"/>
      <color theme="1"/>
      <name val="Optima"/>
      <family val="2"/>
    </font>
    <font>
      <sz val="11"/>
      <color theme="1"/>
      <name val="Calibri Light"/>
      <family val="2"/>
      <charset val="1"/>
    </font>
    <font>
      <sz val="11"/>
      <color theme="1"/>
      <name val="Calibri Light"/>
      <family val="2"/>
      <charset val="1"/>
    </font>
    <font>
      <sz val="12"/>
      <color theme="1"/>
      <name val="Calibri"/>
      <family val="2"/>
      <charset val="128"/>
      <scheme val="minor"/>
    </font>
    <font>
      <sz val="18"/>
      <color theme="1"/>
      <name val="Optima Regular"/>
    </font>
    <font>
      <b/>
      <sz val="22"/>
      <color theme="1"/>
      <name val="Optima Regular"/>
    </font>
    <font>
      <sz val="18"/>
      <color theme="1"/>
      <name val="Calibri"/>
      <family val="2"/>
      <charset val="128"/>
      <scheme val="minor"/>
    </font>
    <font>
      <b/>
      <sz val="18"/>
      <color theme="1"/>
      <name val="Optima Regular"/>
    </font>
    <font>
      <b/>
      <sz val="18"/>
      <color theme="1"/>
      <name val="Calibri"/>
      <family val="2"/>
      <charset val="128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Optima Regular"/>
      <charset val="1"/>
    </font>
    <font>
      <sz val="11"/>
      <color theme="1"/>
      <name val="Calibri"/>
      <family val="2"/>
      <charset val="1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2"/>
      <color theme="1"/>
      <name val="Aptos Narrow"/>
      <family val="2"/>
    </font>
    <font>
      <sz val="10"/>
      <color theme="1"/>
      <name val="Calibri"/>
      <family val="2"/>
      <scheme val="minor"/>
    </font>
    <font>
      <b/>
      <sz val="12"/>
      <color theme="1"/>
      <name val="Aptos Narrow"/>
      <family val="2"/>
    </font>
    <font>
      <b/>
      <sz val="16"/>
      <color theme="1"/>
      <name val="Aptos Narrow"/>
      <charset val="1"/>
    </font>
    <font>
      <b/>
      <u/>
      <sz val="16"/>
      <color theme="1"/>
      <name val="Aptos Narrow"/>
      <charset val="1"/>
    </font>
    <font>
      <b/>
      <u/>
      <sz val="18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Optima"/>
      <charset val="1"/>
    </font>
    <font>
      <b/>
      <sz val="18"/>
      <color theme="1"/>
      <name val="Optima"/>
      <charset val="1"/>
    </font>
    <font>
      <b/>
      <sz val="16"/>
      <color theme="1"/>
      <name val="Calibri"/>
      <family val="2"/>
      <charset val="1"/>
      <scheme val="minor"/>
    </font>
    <font>
      <b/>
      <u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6"/>
      <color theme="1"/>
      <name val="Aptos Narrow"/>
      <family val="2"/>
    </font>
    <font>
      <b/>
      <sz val="16"/>
      <color theme="1"/>
      <name val="Aptos Narrow"/>
      <family val="2"/>
    </font>
    <font>
      <b/>
      <sz val="22"/>
      <color theme="1"/>
      <name val="Calibri"/>
      <family val="2"/>
      <charset val="1"/>
      <scheme val="minor"/>
    </font>
    <font>
      <b/>
      <sz val="22"/>
      <color theme="1"/>
      <name val="Optima"/>
      <family val="2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3" tint="0.749961851863155"/>
      </right>
      <top style="medium">
        <color indexed="64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medium">
        <color indexed="64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medium">
        <color indexed="64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indexed="64"/>
      </right>
      <top style="medium">
        <color indexed="64"/>
      </top>
      <bottom style="thin">
        <color theme="3" tint="0.7499618518631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theme="3" tint="0.749961851863155"/>
      </bottom>
      <diagonal/>
    </border>
    <border>
      <left/>
      <right/>
      <top style="medium">
        <color indexed="64"/>
      </top>
      <bottom style="thin">
        <color theme="3" tint="0.749961851863155"/>
      </bottom>
      <diagonal/>
    </border>
    <border>
      <left/>
      <right style="thin">
        <color indexed="64"/>
      </right>
      <top style="medium">
        <color indexed="64"/>
      </top>
      <bottom style="thin">
        <color theme="3" tint="0.749961851863155"/>
      </bottom>
      <diagonal/>
    </border>
    <border>
      <left style="thin">
        <color indexed="64"/>
      </left>
      <right style="thin">
        <color theme="3" tint="0.749961851863155"/>
      </right>
      <top style="thin">
        <color theme="3" tint="0.749961851863155"/>
      </top>
      <bottom style="thin">
        <color indexed="64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indexed="64"/>
      </bottom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indexed="64"/>
      </bottom>
      <diagonal/>
    </border>
    <border>
      <left style="thin">
        <color theme="3" tint="0.749961851863155"/>
      </left>
      <right style="thin">
        <color indexed="64"/>
      </right>
      <top style="thin">
        <color theme="3" tint="0.74996185186315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0.749961851863155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0.749961851863155"/>
      </bottom>
      <diagonal/>
    </border>
    <border>
      <left style="thin">
        <color indexed="64"/>
      </left>
      <right/>
      <top style="thin">
        <color indexed="64"/>
      </top>
      <bottom style="thin">
        <color theme="3" tint="0.749961851863155"/>
      </bottom>
      <diagonal/>
    </border>
    <border>
      <left/>
      <right/>
      <top style="thin">
        <color indexed="64"/>
      </top>
      <bottom style="thin">
        <color theme="3" tint="0.749961851863155"/>
      </bottom>
      <diagonal/>
    </border>
    <border>
      <left/>
      <right style="thin">
        <color indexed="64"/>
      </right>
      <top style="thin">
        <color indexed="64"/>
      </top>
      <bottom style="thin">
        <color theme="3" tint="0.7499618518631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3" tint="0.749961851863155"/>
      </top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indexed="64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 style="thin">
        <color indexed="64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indexed="64"/>
      </left>
      <right style="thin">
        <color indexed="64"/>
      </right>
      <top style="thin">
        <color theme="3" tint="0.749961851863155"/>
      </top>
      <bottom style="thin">
        <color indexed="64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indexed="64"/>
      </bottom>
      <diagonal/>
    </border>
    <border>
      <left style="thin">
        <color indexed="64"/>
      </left>
      <right/>
      <top style="thin">
        <color theme="3" tint="0.749961851863155"/>
      </top>
      <bottom style="thin">
        <color indexed="64"/>
      </bottom>
      <diagonal/>
    </border>
    <border>
      <left/>
      <right/>
      <top style="thin">
        <color theme="3" tint="0.749961851863155"/>
      </top>
      <bottom style="thin">
        <color indexed="64"/>
      </bottom>
      <diagonal/>
    </border>
    <border>
      <left/>
      <right style="thin">
        <color indexed="64"/>
      </right>
      <top style="thin">
        <color theme="3" tint="0.749961851863155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indexed="64"/>
      </right>
      <top/>
      <bottom style="thin">
        <color theme="3" tint="0.749961851863155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 tint="0.749961851863155"/>
      </left>
      <right style="medium">
        <color indexed="64"/>
      </right>
      <top style="medium">
        <color indexed="64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indexed="64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indexed="64"/>
      </right>
      <top style="thin">
        <color theme="3" tint="0.749961851863155"/>
      </top>
      <bottom style="thin">
        <color indexed="64"/>
      </bottom>
      <diagonal/>
    </border>
    <border>
      <left style="thin">
        <color theme="3" tint="0.749961851863155"/>
      </left>
      <right style="medium">
        <color indexed="64"/>
      </right>
      <top style="thin">
        <color indexed="64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indexed="64"/>
      </right>
      <top style="thin">
        <color theme="3" tint="0.749961851863155"/>
      </top>
      <bottom/>
      <diagonal/>
    </border>
    <border>
      <left style="thin">
        <color indexed="64"/>
      </left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59996337778862885"/>
      </bottom>
      <diagonal/>
    </border>
    <border>
      <left/>
      <right style="thin">
        <color auto="1"/>
      </right>
      <top style="thin">
        <color indexed="64"/>
      </top>
      <bottom style="thin">
        <color theme="4" tint="0.59996337778862885"/>
      </bottom>
      <diagonal/>
    </border>
    <border>
      <left style="thin">
        <color indexed="64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auto="1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indexed="64"/>
      </left>
      <right/>
      <top style="thin">
        <color theme="4" tint="0.59996337778862885"/>
      </top>
      <bottom style="thin">
        <color indexed="64"/>
      </bottom>
      <diagonal/>
    </border>
    <border>
      <left/>
      <right style="thin">
        <color auto="1"/>
      </right>
      <top style="thin">
        <color theme="4" tint="0.59996337778862885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theme="4" tint="0.59996337778862885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59996337778862885"/>
      </bottom>
      <diagonal/>
    </border>
    <border>
      <left/>
      <right style="thin">
        <color auto="1"/>
      </right>
      <top/>
      <bottom style="thin">
        <color theme="4" tint="0.59996337778862885"/>
      </bottom>
      <diagonal/>
    </border>
    <border>
      <left style="thin">
        <color auto="1"/>
      </left>
      <right style="thin">
        <color indexed="64"/>
      </right>
      <top style="thin">
        <color theme="3" tint="0.749961851863155"/>
      </top>
      <bottom style="thin">
        <color theme="4" tint="0.59996337778862885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4" tint="0.59996337778862885"/>
      </bottom>
      <diagonal/>
    </border>
    <border>
      <left style="thin">
        <color auto="1"/>
      </left>
      <right style="thin">
        <color auto="1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auto="1"/>
      </left>
      <right style="thin">
        <color auto="1"/>
      </right>
      <top style="thin">
        <color theme="4" tint="0.59996337778862885"/>
      </top>
      <bottom/>
      <diagonal/>
    </border>
    <border>
      <left style="thin">
        <color auto="1"/>
      </left>
      <right style="thin">
        <color auto="1"/>
      </right>
      <top/>
      <bottom style="thin">
        <color theme="4" tint="0.59996337778862885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/>
      <diagonal/>
    </border>
    <border>
      <left style="thick">
        <color indexed="64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 style="medium">
        <color indexed="64"/>
      </left>
      <right style="thin">
        <color theme="3" tint="0.749961851863155"/>
      </right>
      <top style="medium">
        <color indexed="64"/>
      </top>
      <bottom style="thin">
        <color theme="3" tint="0.749961851863155"/>
      </bottom>
      <diagonal/>
    </border>
    <border>
      <left style="medium">
        <color indexed="64"/>
      </left>
      <right style="thin">
        <color theme="3" tint="0.749961851863155"/>
      </right>
      <top style="thin">
        <color theme="3" tint="0.749961851863155"/>
      </top>
      <bottom style="thin">
        <color indexed="64"/>
      </bottom>
      <diagonal/>
    </border>
    <border>
      <left style="medium">
        <color indexed="64"/>
      </left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3" tint="0.749961851863155"/>
      </left>
      <right style="medium">
        <color indexed="64"/>
      </right>
      <top/>
      <bottom style="thin">
        <color theme="3" tint="0.749961851863155"/>
      </bottom>
      <diagonal/>
    </border>
    <border>
      <left style="medium">
        <color indexed="64"/>
      </left>
      <right style="thin">
        <color theme="3" tint="0.749961851863155"/>
      </right>
      <top style="thin">
        <color theme="3" tint="0.749961851863155"/>
      </top>
      <bottom style="medium">
        <color indexed="64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indexed="64"/>
      </bottom>
      <diagonal/>
    </border>
    <border>
      <left style="thin">
        <color theme="3" tint="0.749961851863155"/>
      </left>
      <right style="medium">
        <color indexed="64"/>
      </right>
      <top style="thin">
        <color theme="3" tint="0.749961851863155"/>
      </top>
      <bottom style="medium">
        <color indexed="64"/>
      </bottom>
      <diagonal/>
    </border>
    <border>
      <left style="medium">
        <color indexed="64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49961851863155"/>
      </bottom>
      <diagonal/>
    </border>
    <border>
      <left/>
      <right style="thin">
        <color theme="3" tint="0.749961851863155"/>
      </right>
      <top style="medium">
        <color indexed="64"/>
      </top>
      <bottom style="thin">
        <color theme="3" tint="0.749961851863155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49961851863155"/>
      </bottom>
      <diagonal/>
    </border>
    <border>
      <left style="thin">
        <color indexed="64"/>
      </left>
      <right/>
      <top style="thin">
        <color theme="3" tint="0.749961851863155"/>
      </top>
      <bottom style="medium">
        <color indexed="64"/>
      </bottom>
      <diagonal/>
    </border>
    <border>
      <left/>
      <right/>
      <top style="thin">
        <color theme="3" tint="0.749961851863155"/>
      </top>
      <bottom style="medium">
        <color indexed="64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auto="1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auto="1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auto="1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auto="1"/>
      </bottom>
      <diagonal/>
    </border>
    <border>
      <left style="thin">
        <color theme="4" tint="0.59996337778862885"/>
      </left>
      <right/>
      <top style="thin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auto="1"/>
      </bottom>
      <diagonal/>
    </border>
    <border>
      <left style="thin">
        <color theme="4" tint="0.59996337778862885"/>
      </left>
      <right/>
      <top style="thin">
        <color auto="1"/>
      </top>
      <bottom style="thin">
        <color indexed="64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 style="medium">
        <color indexed="64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 style="thin">
        <color theme="4" tint="0.59996337778862885"/>
      </top>
      <bottom style="thin">
        <color auto="1"/>
      </bottom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 style="thin">
        <color auto="1"/>
      </bottom>
      <diagonal/>
    </border>
    <border>
      <left style="medium">
        <color indexed="64"/>
      </left>
      <right style="thin">
        <color theme="4" tint="0.59996337778862885"/>
      </right>
      <top style="thin">
        <color auto="1"/>
      </top>
      <bottom style="thin">
        <color indexed="64"/>
      </bottom>
      <diagonal/>
    </border>
    <border>
      <left style="thin">
        <color theme="4" tint="0.59996337778862885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theme="4" tint="0.59996337778862885"/>
      </right>
      <top style="thin">
        <color auto="1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 style="thin">
        <color auto="1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indexed="64"/>
      </left>
      <right style="thin">
        <color theme="4" tint="0.59996337778862885"/>
      </right>
      <top/>
      <bottom style="medium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medium">
        <color indexed="64"/>
      </bottom>
      <diagonal/>
    </border>
    <border>
      <left style="thin">
        <color theme="4" tint="0.59996337778862885"/>
      </left>
      <right/>
      <top/>
      <bottom style="medium">
        <color indexed="64"/>
      </bottom>
      <diagonal/>
    </border>
    <border>
      <left style="thin">
        <color theme="4" tint="0.5999633777886288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/>
      <diagonal/>
    </border>
    <border>
      <left style="medium">
        <color indexed="64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indexed="64"/>
      </right>
      <top/>
      <bottom style="thin">
        <color theme="4" tint="0.59996337778862885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59996337778862885"/>
      </bottom>
      <diagonal/>
    </border>
    <border>
      <left style="medium">
        <color indexed="64"/>
      </left>
      <right style="medium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indexed="64"/>
      </left>
      <right style="medium">
        <color indexed="64"/>
      </right>
      <top style="thin">
        <color theme="4" tint="0.59996337778862885"/>
      </top>
      <bottom style="thin">
        <color indexed="64"/>
      </bottom>
      <diagonal/>
    </border>
    <border>
      <left style="medium">
        <color indexed="64"/>
      </left>
      <right style="thin">
        <color theme="4" tint="0.59996337778862885"/>
      </right>
      <top/>
      <bottom style="thin">
        <color auto="1"/>
      </bottom>
      <diagonal/>
    </border>
    <border>
      <left style="thin">
        <color theme="4" tint="0.59996337778862885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5999633777886288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59996337778862885"/>
      </bottom>
      <diagonal/>
    </border>
    <border>
      <left/>
      <right/>
      <top style="medium">
        <color indexed="64"/>
      </top>
      <bottom style="thin">
        <color theme="4" tint="0.59996337778862885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 style="medium">
        <color indexed="64"/>
      </left>
      <right/>
      <top/>
      <bottom style="thin">
        <color theme="4" tint="0.59996337778862885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indexed="64"/>
      </top>
      <bottom style="thin">
        <color theme="3" tint="0.749961851863155"/>
      </bottom>
      <diagonal/>
    </border>
    <border>
      <left style="medium">
        <color indexed="64"/>
      </left>
      <right style="thin">
        <color theme="3" tint="0.749961851863155"/>
      </right>
      <top style="thin">
        <color indexed="64"/>
      </top>
      <bottom style="thin">
        <color theme="3" tint="0.749961851863155"/>
      </bottom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59996337778862885"/>
      </top>
      <bottom style="medium">
        <color indexed="64"/>
      </bottom>
      <diagonal/>
    </border>
    <border>
      <left/>
      <right/>
      <top style="thin">
        <color theme="4" tint="0.59996337778862885"/>
      </top>
      <bottom style="medium">
        <color indexed="64"/>
      </bottom>
      <diagonal/>
    </border>
    <border>
      <left style="thin">
        <color theme="3" tint="0.749961851863155"/>
      </left>
      <right style="thin">
        <color indexed="64"/>
      </right>
      <top/>
      <bottom style="thin">
        <color theme="3" tint="0.749961851863155"/>
      </bottom>
      <diagonal/>
    </border>
    <border>
      <left style="thin">
        <color theme="3" tint="0.749961851863155"/>
      </left>
      <right style="thin">
        <color indexed="64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indexed="64"/>
      </right>
      <top style="thin">
        <color theme="3" tint="0.749961851863155"/>
      </top>
      <bottom style="medium">
        <color indexed="64"/>
      </bottom>
      <diagonal/>
    </border>
    <border>
      <left/>
      <right style="thin">
        <color indexed="64"/>
      </right>
      <top style="thin">
        <color theme="3" tint="0.749961851863155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medium">
        <color indexed="64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indexed="64"/>
      </left>
      <right style="thin">
        <color theme="4" tint="0.59996337778862885"/>
      </right>
      <top style="thin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indexed="64"/>
      </right>
      <top style="thin">
        <color indexed="64"/>
      </top>
      <bottom style="thin">
        <color theme="4" tint="0.59996337778862885"/>
      </bottom>
      <diagonal/>
    </border>
    <border>
      <left style="thin">
        <color indexed="64"/>
      </left>
      <right style="thin">
        <color theme="4" tint="0.59996337778862885"/>
      </right>
      <top style="thin">
        <color theme="4" tint="0.59996337778862885"/>
      </top>
      <bottom style="thin">
        <color indexed="64"/>
      </bottom>
      <diagonal/>
    </border>
    <border>
      <left style="thin">
        <color theme="4" tint="0.59996337778862885"/>
      </left>
      <right style="thin">
        <color indexed="64"/>
      </right>
      <top style="thin">
        <color theme="4" tint="0.59996337778862885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indexed="64"/>
      </bottom>
      <diagonal/>
    </border>
    <border>
      <left style="thin">
        <color theme="4" tint="0.59996337778862885"/>
      </left>
      <right style="medium">
        <color indexed="64"/>
      </right>
      <top style="thin">
        <color theme="4" tint="0.59996337778862885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59996337778862885"/>
      </top>
      <bottom/>
      <diagonal/>
    </border>
    <border>
      <left style="medium">
        <color indexed="64"/>
      </left>
      <right/>
      <top style="thin">
        <color auto="1"/>
      </top>
      <bottom style="thin">
        <color theme="4" tint="0.59996337778862885"/>
      </bottom>
      <diagonal/>
    </border>
    <border>
      <left style="medium">
        <color indexed="64"/>
      </left>
      <right/>
      <top style="thin">
        <color theme="4" tint="0.59996337778862885"/>
      </top>
      <bottom style="thin">
        <color auto="1"/>
      </bottom>
      <diagonal/>
    </border>
    <border>
      <left/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auto="1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auto="1"/>
      </bottom>
      <diagonal/>
    </border>
    <border>
      <left style="thin">
        <color indexed="64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indexed="64"/>
      </right>
      <top/>
      <bottom style="thin">
        <color theme="4" tint="0.59996337778862885"/>
      </bottom>
      <diagonal/>
    </border>
    <border>
      <left style="medium">
        <color indexed="64"/>
      </left>
      <right/>
      <top style="thin">
        <color theme="4" tint="0.59996337778862885"/>
      </top>
      <bottom style="medium">
        <color indexed="64"/>
      </bottom>
      <diagonal/>
    </border>
    <border>
      <left style="thin">
        <color indexed="64"/>
      </left>
      <right style="thin">
        <color theme="4" tint="0.59996337778862885"/>
      </right>
      <top style="medium">
        <color indexed="64"/>
      </top>
      <bottom style="thin">
        <color theme="4" tint="0.59996337778862885"/>
      </bottom>
      <diagonal/>
    </border>
    <border>
      <left style="thin">
        <color indexed="64"/>
      </left>
      <right style="thin">
        <color theme="4" tint="0.59996337778862885"/>
      </right>
      <top style="thin">
        <color theme="4" tint="0.59996337778862885"/>
      </top>
      <bottom style="medium">
        <color indexed="64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theme="4" tint="0.59996337778862885"/>
      </top>
      <bottom style="medium">
        <color indexed="64"/>
      </bottom>
      <diagonal/>
    </border>
    <border>
      <left style="thin">
        <color theme="4" tint="0.59996337778862885"/>
      </left>
      <right style="thin">
        <color indexed="64"/>
      </right>
      <top style="medium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indexed="64"/>
      </right>
      <top style="thin">
        <color theme="4" tint="0.59996337778862885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theme="4" tint="0.59996337778862885"/>
      </bottom>
      <diagonal/>
    </border>
    <border>
      <left style="thin">
        <color indexed="64"/>
      </left>
      <right/>
      <top style="thin">
        <color theme="4" tint="0.5999633777886288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4" tint="0.59996337778862885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89996032593768116"/>
      </bottom>
      <diagonal/>
    </border>
    <border>
      <left/>
      <right/>
      <top style="medium">
        <color indexed="64"/>
      </top>
      <bottom style="thin">
        <color theme="3" tint="0.89996032593768116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89996032593768116"/>
      </bottom>
      <diagonal/>
    </border>
    <border>
      <left style="medium">
        <color indexed="64"/>
      </left>
      <right/>
      <top style="thin">
        <color theme="3" tint="0.89996032593768116"/>
      </top>
      <bottom style="thin">
        <color theme="3" tint="0.89996032593768116"/>
      </bottom>
      <diagonal/>
    </border>
    <border>
      <left/>
      <right/>
      <top style="thin">
        <color theme="3" tint="0.89996032593768116"/>
      </top>
      <bottom style="thin">
        <color theme="3" tint="0.89996032593768116"/>
      </bottom>
      <diagonal/>
    </border>
    <border>
      <left/>
      <right style="medium">
        <color indexed="64"/>
      </right>
      <top style="thin">
        <color theme="3" tint="0.89996032593768116"/>
      </top>
      <bottom style="thin">
        <color theme="3" tint="0.89996032593768116"/>
      </bottom>
      <diagonal/>
    </border>
    <border>
      <left style="medium">
        <color indexed="64"/>
      </left>
      <right/>
      <top style="thin">
        <color theme="3" tint="0.89996032593768116"/>
      </top>
      <bottom style="medium">
        <color indexed="64"/>
      </bottom>
      <diagonal/>
    </border>
    <border>
      <left/>
      <right/>
      <top style="thin">
        <color theme="3" tint="0.89996032593768116"/>
      </top>
      <bottom style="medium">
        <color indexed="64"/>
      </bottom>
      <diagonal/>
    </border>
    <border>
      <left/>
      <right style="medium">
        <color indexed="64"/>
      </right>
      <top style="thin">
        <color theme="3" tint="0.89996032593768116"/>
      </top>
      <bottom style="medium">
        <color indexed="64"/>
      </bottom>
      <diagonal/>
    </border>
    <border>
      <left/>
      <right style="thin">
        <color theme="3" tint="0.749961851863155"/>
      </right>
      <top style="thin">
        <color indexed="64"/>
      </top>
      <bottom style="thin">
        <color theme="3" tint="0.749961851863155"/>
      </bottom>
      <diagonal/>
    </border>
    <border>
      <left style="medium">
        <color indexed="64"/>
      </left>
      <right/>
      <top/>
      <bottom style="thin">
        <color theme="3" tint="0.749961851863155"/>
      </bottom>
      <diagonal/>
    </border>
    <border>
      <left/>
      <right style="medium">
        <color indexed="64"/>
      </right>
      <top/>
      <bottom style="thin">
        <color theme="3" tint="0.749961851863155"/>
      </bottom>
      <diagonal/>
    </border>
  </borders>
  <cellStyleXfs count="9">
    <xf numFmtId="0" fontId="0" fillId="0" borderId="0"/>
    <xf numFmtId="166" fontId="2" fillId="0" borderId="0" applyFont="0" applyFill="0" applyBorder="0" applyAlignment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1118">
    <xf numFmtId="0" fontId="0" fillId="0" borderId="0" xfId="0"/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left" vertical="center"/>
    </xf>
    <xf numFmtId="17" fontId="7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17" fontId="7" fillId="0" borderId="8" xfId="2" quotePrefix="1" applyNumberFormat="1" applyFont="1" applyBorder="1" applyAlignment="1">
      <alignment horizontal="center" vertical="center"/>
    </xf>
    <xf numFmtId="1" fontId="7" fillId="0" borderId="9" xfId="2" quotePrefix="1" applyNumberFormat="1" applyFont="1" applyBorder="1" applyAlignment="1">
      <alignment horizontal="center" vertical="center"/>
    </xf>
    <xf numFmtId="1" fontId="7" fillId="0" borderId="10" xfId="2" quotePrefix="1" applyNumberFormat="1" applyFont="1" applyBorder="1" applyAlignment="1">
      <alignment horizontal="center" vertical="center"/>
    </xf>
    <xf numFmtId="1" fontId="7" fillId="0" borderId="11" xfId="2" quotePrefix="1" applyNumberFormat="1" applyFont="1" applyBorder="1" applyAlignment="1">
      <alignment horizontal="center" vertical="center"/>
    </xf>
    <xf numFmtId="1" fontId="7" fillId="0" borderId="0" xfId="2" quotePrefix="1" applyNumberFormat="1" applyFont="1" applyAlignment="1">
      <alignment horizontal="center" vertical="center"/>
    </xf>
    <xf numFmtId="38" fontId="4" fillId="0" borderId="3" xfId="3" applyFont="1" applyFill="1" applyBorder="1" applyAlignment="1">
      <alignment horizontal="center" vertical="center"/>
    </xf>
    <xf numFmtId="38" fontId="7" fillId="0" borderId="13" xfId="3" quotePrefix="1" applyFont="1" applyFill="1" applyBorder="1" applyAlignment="1">
      <alignment horizontal="center" vertical="center"/>
    </xf>
    <xf numFmtId="38" fontId="7" fillId="0" borderId="14" xfId="3" quotePrefix="1" applyFont="1" applyFill="1" applyBorder="1" applyAlignment="1">
      <alignment horizontal="center" vertical="center"/>
    </xf>
    <xf numFmtId="38" fontId="7" fillId="0" borderId="15" xfId="3" applyFont="1" applyFill="1" applyBorder="1" applyAlignment="1">
      <alignment horizontal="center" vertical="center"/>
    </xf>
    <xf numFmtId="38" fontId="7" fillId="0" borderId="16" xfId="3" applyFont="1" applyFill="1" applyBorder="1" applyAlignment="1">
      <alignment horizontal="center" vertical="center"/>
    </xf>
    <xf numFmtId="38" fontId="7" fillId="0" borderId="17" xfId="3" applyFont="1" applyFill="1" applyBorder="1" applyAlignment="1">
      <alignment horizontal="center" vertical="center"/>
    </xf>
    <xf numFmtId="38" fontId="4" fillId="0" borderId="15" xfId="3" applyFont="1" applyFill="1" applyBorder="1" applyAlignment="1">
      <alignment horizontal="center" vertical="center"/>
    </xf>
    <xf numFmtId="38" fontId="4" fillId="0" borderId="18" xfId="3" applyFont="1" applyFill="1" applyBorder="1" applyAlignment="1">
      <alignment horizontal="center" vertical="center"/>
    </xf>
    <xf numFmtId="38" fontId="9" fillId="2" borderId="19" xfId="2" applyNumberFormat="1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/>
    </xf>
    <xf numFmtId="38" fontId="7" fillId="0" borderId="18" xfId="3" applyFont="1" applyFill="1" applyBorder="1" applyAlignment="1">
      <alignment horizontal="center" vertical="center"/>
    </xf>
    <xf numFmtId="38" fontId="4" fillId="0" borderId="0" xfId="3" applyFont="1" applyFill="1" applyBorder="1" applyAlignment="1">
      <alignment horizontal="center" vertical="center"/>
    </xf>
    <xf numFmtId="38" fontId="7" fillId="0" borderId="21" xfId="3" applyFont="1" applyFill="1" applyBorder="1" applyAlignment="1">
      <alignment horizontal="center" vertical="center"/>
    </xf>
    <xf numFmtId="38" fontId="7" fillId="0" borderId="19" xfId="3" applyFont="1" applyFill="1" applyBorder="1" applyAlignment="1">
      <alignment horizontal="center" vertical="center"/>
    </xf>
    <xf numFmtId="38" fontId="7" fillId="0" borderId="19" xfId="3" quotePrefix="1" applyFont="1" applyFill="1" applyBorder="1" applyAlignment="1">
      <alignment horizontal="center" vertical="center"/>
    </xf>
    <xf numFmtId="38" fontId="7" fillId="0" borderId="22" xfId="3" quotePrefix="1" applyFont="1" applyFill="1" applyBorder="1" applyAlignment="1">
      <alignment horizontal="center" vertical="center"/>
    </xf>
    <xf numFmtId="38" fontId="4" fillId="0" borderId="23" xfId="3" applyFont="1" applyFill="1" applyBorder="1" applyAlignment="1">
      <alignment horizontal="center" vertical="center"/>
    </xf>
    <xf numFmtId="38" fontId="4" fillId="0" borderId="24" xfId="3" quotePrefix="1" applyFont="1" applyFill="1" applyBorder="1" applyAlignment="1">
      <alignment horizontal="center" vertical="center"/>
    </xf>
    <xf numFmtId="38" fontId="6" fillId="0" borderId="19" xfId="2" applyNumberFormat="1" applyFont="1" applyBorder="1" applyAlignment="1">
      <alignment horizontal="center" vertical="center"/>
    </xf>
    <xf numFmtId="167" fontId="6" fillId="0" borderId="19" xfId="4" applyNumberFormat="1" applyFont="1" applyBorder="1" applyAlignment="1">
      <alignment horizontal="left" vertical="center"/>
    </xf>
    <xf numFmtId="38" fontId="7" fillId="0" borderId="24" xfId="3" quotePrefix="1" applyFont="1" applyFill="1" applyBorder="1" applyAlignment="1">
      <alignment horizontal="center" vertical="center"/>
    </xf>
    <xf numFmtId="0" fontId="6" fillId="0" borderId="19" xfId="2" applyFont="1" applyBorder="1" applyAlignment="1">
      <alignment horizontal="left" vertical="center"/>
    </xf>
    <xf numFmtId="16" fontId="0" fillId="0" borderId="0" xfId="0" applyNumberFormat="1"/>
    <xf numFmtId="38" fontId="7" fillId="0" borderId="25" xfId="3" applyFont="1" applyFill="1" applyBorder="1" applyAlignment="1">
      <alignment horizontal="center" vertical="center"/>
    </xf>
    <xf numFmtId="16" fontId="6" fillId="0" borderId="19" xfId="2" applyNumberFormat="1" applyFont="1" applyBorder="1" applyAlignment="1">
      <alignment horizontal="left" vertical="center"/>
    </xf>
    <xf numFmtId="38" fontId="4" fillId="0" borderId="28" xfId="3" applyFont="1" applyFill="1" applyBorder="1" applyAlignment="1">
      <alignment horizontal="center" vertical="center"/>
    </xf>
    <xf numFmtId="38" fontId="7" fillId="0" borderId="29" xfId="3" applyFont="1" applyFill="1" applyBorder="1" applyAlignment="1">
      <alignment horizontal="center" vertical="center"/>
    </xf>
    <xf numFmtId="38" fontId="7" fillId="0" borderId="30" xfId="3" quotePrefix="1" applyFont="1" applyFill="1" applyBorder="1" applyAlignment="1">
      <alignment horizontal="center" vertical="center"/>
    </xf>
    <xf numFmtId="38" fontId="7" fillId="0" borderId="31" xfId="3" quotePrefix="1" applyFont="1" applyFill="1" applyBorder="1" applyAlignment="1">
      <alignment horizontal="center" vertical="center"/>
    </xf>
    <xf numFmtId="38" fontId="7" fillId="0" borderId="29" xfId="3" quotePrefix="1" applyFont="1" applyFill="1" applyBorder="1" applyAlignment="1">
      <alignment horizontal="center" vertical="center"/>
    </xf>
    <xf numFmtId="38" fontId="7" fillId="0" borderId="32" xfId="3" applyFont="1" applyFill="1" applyBorder="1" applyAlignment="1">
      <alignment horizontal="center" vertical="center"/>
    </xf>
    <xf numFmtId="38" fontId="7" fillId="0" borderId="33" xfId="3" quotePrefix="1" applyFont="1" applyFill="1" applyBorder="1" applyAlignment="1">
      <alignment horizontal="center" vertical="center"/>
    </xf>
    <xf numFmtId="38" fontId="7" fillId="0" borderId="34" xfId="3" quotePrefix="1" applyFont="1" applyFill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17" fontId="7" fillId="0" borderId="0" xfId="2" quotePrefix="1" applyNumberFormat="1" applyFont="1" applyAlignment="1">
      <alignment horizontal="center" vertical="center"/>
    </xf>
    <xf numFmtId="0" fontId="7" fillId="0" borderId="39" xfId="2" applyFont="1" applyBorder="1" applyAlignment="1">
      <alignment horizontal="right" vertical="center"/>
    </xf>
    <xf numFmtId="17" fontId="7" fillId="0" borderId="40" xfId="2" quotePrefix="1" applyNumberFormat="1" applyFont="1" applyBorder="1" applyAlignment="1">
      <alignment horizontal="center" vertical="center"/>
    </xf>
    <xf numFmtId="17" fontId="7" fillId="0" borderId="9" xfId="2" quotePrefix="1" applyNumberFormat="1" applyFont="1" applyBorder="1" applyAlignment="1">
      <alignment horizontal="center" vertical="center"/>
    </xf>
    <xf numFmtId="17" fontId="7" fillId="0" borderId="10" xfId="2" quotePrefix="1" applyNumberFormat="1" applyFont="1" applyBorder="1" applyAlignment="1">
      <alignment horizontal="center" vertical="center"/>
    </xf>
    <xf numFmtId="1" fontId="7" fillId="0" borderId="41" xfId="2" quotePrefix="1" applyNumberFormat="1" applyFont="1" applyBorder="1" applyAlignment="1">
      <alignment horizontal="center" vertical="center"/>
    </xf>
    <xf numFmtId="17" fontId="7" fillId="0" borderId="42" xfId="2" quotePrefix="1" applyNumberFormat="1" applyFont="1" applyBorder="1" applyAlignment="1">
      <alignment horizontal="center" vertical="center"/>
    </xf>
    <xf numFmtId="17" fontId="7" fillId="3" borderId="8" xfId="2" quotePrefix="1" applyNumberFormat="1" applyFont="1" applyFill="1" applyBorder="1" applyAlignment="1">
      <alignment horizontal="center" vertical="center"/>
    </xf>
    <xf numFmtId="38" fontId="4" fillId="0" borderId="44" xfId="3" applyFont="1" applyFill="1" applyBorder="1" applyAlignment="1">
      <alignment horizontal="center" vertical="center"/>
    </xf>
    <xf numFmtId="38" fontId="4" fillId="0" borderId="45" xfId="3" applyFont="1" applyFill="1" applyBorder="1" applyAlignment="1">
      <alignment horizontal="center" vertical="center"/>
    </xf>
    <xf numFmtId="38" fontId="7" fillId="0" borderId="45" xfId="3" applyFont="1" applyFill="1" applyBorder="1" applyAlignment="1">
      <alignment horizontal="center" vertical="center"/>
    </xf>
    <xf numFmtId="38" fontId="7" fillId="4" borderId="15" xfId="3" applyFont="1" applyFill="1" applyBorder="1" applyAlignment="1">
      <alignment horizontal="center" vertical="center"/>
    </xf>
    <xf numFmtId="38" fontId="7" fillId="0" borderId="0" xfId="3" applyFont="1" applyFill="1" applyBorder="1" applyAlignment="1">
      <alignment horizontal="center" vertical="center"/>
    </xf>
    <xf numFmtId="38" fontId="4" fillId="0" borderId="47" xfId="3" applyFont="1" applyFill="1" applyBorder="1" applyAlignment="1">
      <alignment horizontal="center" vertical="center"/>
    </xf>
    <xf numFmtId="38" fontId="7" fillId="0" borderId="30" xfId="3" applyFont="1" applyFill="1" applyBorder="1" applyAlignment="1">
      <alignment horizontal="center" vertical="center"/>
    </xf>
    <xf numFmtId="38" fontId="7" fillId="0" borderId="31" xfId="3" applyFont="1" applyFill="1" applyBorder="1" applyAlignment="1">
      <alignment horizontal="center" vertical="center"/>
    </xf>
    <xf numFmtId="38" fontId="7" fillId="0" borderId="47" xfId="3" applyFont="1" applyFill="1" applyBorder="1" applyAlignment="1">
      <alignment horizontal="center" vertical="center"/>
    </xf>
    <xf numFmtId="38" fontId="7" fillId="4" borderId="30" xfId="3" quotePrefix="1" applyFont="1" applyFill="1" applyBorder="1" applyAlignment="1">
      <alignment horizontal="center" vertical="center"/>
    </xf>
    <xf numFmtId="38" fontId="7" fillId="4" borderId="32" xfId="3" quotePrefix="1" applyFont="1" applyFill="1" applyBorder="1" applyAlignment="1">
      <alignment horizontal="center" vertical="center"/>
    </xf>
    <xf numFmtId="38" fontId="7" fillId="0" borderId="32" xfId="3" quotePrefix="1" applyFont="1" applyFill="1" applyBorder="1" applyAlignment="1">
      <alignment horizontal="center" vertical="center"/>
    </xf>
    <xf numFmtId="38" fontId="7" fillId="0" borderId="0" xfId="3" quotePrefix="1" applyFont="1" applyFill="1" applyBorder="1" applyAlignment="1">
      <alignment horizontal="center" vertical="center"/>
    </xf>
    <xf numFmtId="38" fontId="7" fillId="4" borderId="45" xfId="3" applyFont="1" applyFill="1" applyBorder="1" applyAlignment="1">
      <alignment horizontal="center" vertical="center"/>
    </xf>
    <xf numFmtId="38" fontId="7" fillId="4" borderId="47" xfId="3" quotePrefix="1" applyFont="1" applyFill="1" applyBorder="1" applyAlignment="1">
      <alignment horizontal="center" vertical="center"/>
    </xf>
    <xf numFmtId="38" fontId="7" fillId="4" borderId="18" xfId="3" applyFont="1" applyFill="1" applyBorder="1" applyAlignment="1">
      <alignment horizontal="center" vertical="center"/>
    </xf>
    <xf numFmtId="38" fontId="7" fillId="4" borderId="49" xfId="3" quotePrefix="1" applyFont="1" applyFill="1" applyBorder="1" applyAlignment="1">
      <alignment horizontal="center" vertical="center"/>
    </xf>
    <xf numFmtId="0" fontId="4" fillId="0" borderId="2" xfId="2" applyFont="1" applyBorder="1" applyAlignment="1">
      <alignment vertical="center" wrapText="1"/>
    </xf>
    <xf numFmtId="38" fontId="7" fillId="0" borderId="49" xfId="3" quotePrefix="1" applyFont="1" applyFill="1" applyBorder="1" applyAlignment="1">
      <alignment horizontal="center" vertical="center"/>
    </xf>
    <xf numFmtId="38" fontId="7" fillId="4" borderId="30" xfId="3" applyFont="1" applyFill="1" applyBorder="1" applyAlignment="1">
      <alignment horizontal="center" vertical="center"/>
    </xf>
    <xf numFmtId="38" fontId="7" fillId="4" borderId="47" xfId="3" applyFont="1" applyFill="1" applyBorder="1" applyAlignment="1">
      <alignment horizontal="center" vertical="center"/>
    </xf>
    <xf numFmtId="0" fontId="4" fillId="0" borderId="12" xfId="2" applyFont="1" applyBorder="1" applyAlignment="1">
      <alignment vertical="center" wrapText="1"/>
    </xf>
    <xf numFmtId="38" fontId="7" fillId="0" borderId="50" xfId="3" applyFont="1" applyFill="1" applyBorder="1" applyAlignment="1">
      <alignment horizontal="center" vertical="center"/>
    </xf>
    <xf numFmtId="0" fontId="4" fillId="0" borderId="27" xfId="2" applyFont="1" applyBorder="1" applyAlignment="1">
      <alignment vertical="center" wrapText="1"/>
    </xf>
    <xf numFmtId="38" fontId="4" fillId="0" borderId="30" xfId="3" quotePrefix="1" applyFont="1" applyFill="1" applyBorder="1" applyAlignment="1">
      <alignment horizontal="center" vertical="center"/>
    </xf>
    <xf numFmtId="38" fontId="4" fillId="0" borderId="31" xfId="3" quotePrefix="1" applyFont="1" applyFill="1" applyBorder="1" applyAlignment="1">
      <alignment horizontal="center" vertical="center"/>
    </xf>
    <xf numFmtId="38" fontId="4" fillId="0" borderId="30" xfId="3" applyFont="1" applyFill="1" applyBorder="1" applyAlignment="1">
      <alignment horizontal="center" vertical="center"/>
    </xf>
    <xf numFmtId="38" fontId="4" fillId="0" borderId="32" xfId="3" quotePrefix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56" xfId="0" applyFont="1" applyBorder="1"/>
    <xf numFmtId="0" fontId="11" fillId="0" borderId="54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8" xfId="0" applyBorder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59" xfId="0" applyBorder="1"/>
    <xf numFmtId="0" fontId="0" fillId="0" borderId="2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0" fillId="5" borderId="23" xfId="0" applyFill="1" applyBorder="1"/>
    <xf numFmtId="10" fontId="0" fillId="0" borderId="0" xfId="0" applyNumberFormat="1"/>
    <xf numFmtId="0" fontId="0" fillId="5" borderId="0" xfId="0" applyFill="1"/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165" fontId="0" fillId="0" borderId="0" xfId="0" applyNumberFormat="1"/>
    <xf numFmtId="0" fontId="11" fillId="0" borderId="59" xfId="0" applyFont="1" applyBorder="1"/>
    <xf numFmtId="0" fontId="11" fillId="0" borderId="61" xfId="0" applyFont="1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6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0" xfId="0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0" fillId="0" borderId="30" xfId="0" applyBorder="1" applyAlignment="1">
      <alignment vertical="center"/>
    </xf>
    <xf numFmtId="168" fontId="0" fillId="0" borderId="0" xfId="0" applyNumberFormat="1"/>
    <xf numFmtId="38" fontId="7" fillId="0" borderId="63" xfId="3" applyFont="1" applyFill="1" applyBorder="1" applyAlignment="1">
      <alignment horizontal="center" vertical="center"/>
    </xf>
    <xf numFmtId="38" fontId="7" fillId="0" borderId="64" xfId="3" applyFont="1" applyFill="1" applyBorder="1" applyAlignment="1">
      <alignment horizontal="center" vertical="center"/>
    </xf>
    <xf numFmtId="38" fontId="7" fillId="0" borderId="65" xfId="3" applyFont="1" applyFill="1" applyBorder="1" applyAlignment="1">
      <alignment horizontal="center" vertical="center"/>
    </xf>
    <xf numFmtId="38" fontId="7" fillId="4" borderId="32" xfId="3" applyFont="1" applyFill="1" applyBorder="1" applyAlignment="1">
      <alignment horizontal="center" vertical="center"/>
    </xf>
    <xf numFmtId="38" fontId="7" fillId="4" borderId="50" xfId="3" applyFont="1" applyFill="1" applyBorder="1" applyAlignment="1">
      <alignment horizontal="center" vertical="center"/>
    </xf>
    <xf numFmtId="38" fontId="7" fillId="0" borderId="14" xfId="3" applyFont="1" applyFill="1" applyBorder="1" applyAlignment="1">
      <alignment horizontal="center" vertical="center"/>
    </xf>
    <xf numFmtId="1" fontId="7" fillId="0" borderId="48" xfId="2" quotePrefix="1" applyNumberFormat="1" applyFont="1" applyBorder="1" applyAlignment="1">
      <alignment horizontal="center" vertical="center"/>
    </xf>
    <xf numFmtId="0" fontId="13" fillId="8" borderId="0" xfId="5" applyFill="1" applyAlignment="1">
      <alignment horizontal="center" vertical="center"/>
    </xf>
    <xf numFmtId="0" fontId="13" fillId="8" borderId="0" xfId="5" applyFill="1" applyAlignment="1">
      <alignment vertical="center"/>
    </xf>
    <xf numFmtId="0" fontId="14" fillId="8" borderId="0" xfId="5" applyFont="1" applyFill="1" applyAlignment="1">
      <alignment horizontal="left" vertical="center"/>
    </xf>
    <xf numFmtId="0" fontId="15" fillId="8" borderId="0" xfId="5" applyFont="1" applyFill="1" applyAlignment="1">
      <alignment horizontal="center" vertical="center"/>
    </xf>
    <xf numFmtId="0" fontId="15" fillId="8" borderId="0" xfId="5" applyFont="1" applyFill="1" applyAlignment="1">
      <alignment vertical="center"/>
    </xf>
    <xf numFmtId="0" fontId="16" fillId="8" borderId="0" xfId="5" applyFont="1" applyFill="1" applyAlignment="1">
      <alignment horizontal="center" vertical="center"/>
    </xf>
    <xf numFmtId="0" fontId="16" fillId="8" borderId="0" xfId="5" applyFont="1" applyFill="1" applyAlignment="1">
      <alignment vertical="center"/>
    </xf>
    <xf numFmtId="0" fontId="18" fillId="8" borderId="0" xfId="5" applyFont="1" applyFill="1" applyAlignment="1">
      <alignment horizontal="left" vertical="center"/>
    </xf>
    <xf numFmtId="0" fontId="19" fillId="8" borderId="0" xfId="5" applyFont="1" applyFill="1" applyAlignment="1">
      <alignment vertical="center"/>
    </xf>
    <xf numFmtId="0" fontId="17" fillId="8" borderId="0" xfId="5" applyFont="1" applyFill="1" applyAlignment="1">
      <alignment horizontal="center" vertical="center"/>
    </xf>
    <xf numFmtId="0" fontId="13" fillId="8" borderId="67" xfId="5" applyFill="1" applyBorder="1" applyAlignment="1">
      <alignment horizontal="center" vertical="center"/>
    </xf>
    <xf numFmtId="0" fontId="13" fillId="8" borderId="48" xfId="5" applyFill="1" applyBorder="1" applyAlignment="1">
      <alignment horizontal="center" vertical="center"/>
    </xf>
    <xf numFmtId="0" fontId="13" fillId="8" borderId="73" xfId="5" applyFill="1" applyBorder="1" applyAlignment="1">
      <alignment horizontal="center" vertical="center"/>
    </xf>
    <xf numFmtId="0" fontId="23" fillId="8" borderId="34" xfId="5" applyFont="1" applyFill="1" applyBorder="1" applyAlignment="1">
      <alignment horizontal="center" vertical="center"/>
    </xf>
    <xf numFmtId="169" fontId="22" fillId="8" borderId="0" xfId="5" applyNumberFormat="1" applyFont="1" applyFill="1" applyAlignment="1">
      <alignment horizontal="center" vertical="center"/>
    </xf>
    <xf numFmtId="0" fontId="11" fillId="8" borderId="67" xfId="5" applyFont="1" applyFill="1" applyBorder="1" applyAlignment="1">
      <alignment horizontal="center" vertical="center"/>
    </xf>
    <xf numFmtId="0" fontId="22" fillId="8" borderId="0" xfId="5" applyFont="1" applyFill="1" applyAlignment="1">
      <alignment horizontal="center" vertical="center"/>
    </xf>
    <xf numFmtId="0" fontId="11" fillId="8" borderId="16" xfId="5" applyFont="1" applyFill="1" applyBorder="1" applyAlignment="1">
      <alignment horizontal="center" vertical="center"/>
    </xf>
    <xf numFmtId="0" fontId="23" fillId="8" borderId="67" xfId="5" applyFont="1" applyFill="1" applyBorder="1" applyAlignment="1">
      <alignment horizontal="center" vertical="center"/>
    </xf>
    <xf numFmtId="0" fontId="21" fillId="8" borderId="67" xfId="5" applyFont="1" applyFill="1" applyBorder="1" applyAlignment="1">
      <alignment horizontal="center" vertical="center"/>
    </xf>
    <xf numFmtId="0" fontId="23" fillId="8" borderId="22" xfId="5" applyFont="1" applyFill="1" applyBorder="1" applyAlignment="1">
      <alignment horizontal="center" vertical="center"/>
    </xf>
    <xf numFmtId="0" fontId="23" fillId="8" borderId="16" xfId="5" applyFont="1" applyFill="1" applyBorder="1" applyAlignment="1">
      <alignment horizontal="center" vertical="center"/>
    </xf>
    <xf numFmtId="0" fontId="11" fillId="8" borderId="115" xfId="5" applyFont="1" applyFill="1" applyBorder="1" applyAlignment="1">
      <alignment horizontal="center" vertical="center"/>
    </xf>
    <xf numFmtId="0" fontId="22" fillId="8" borderId="0" xfId="5" applyFont="1" applyFill="1" applyAlignment="1">
      <alignment vertical="center"/>
    </xf>
    <xf numFmtId="0" fontId="24" fillId="8" borderId="0" xfId="5" applyFont="1" applyFill="1" applyAlignment="1">
      <alignment vertical="center"/>
    </xf>
    <xf numFmtId="0" fontId="13" fillId="8" borderId="17" xfId="5" applyFill="1" applyBorder="1" applyAlignment="1">
      <alignment horizontal="center" vertical="center"/>
    </xf>
    <xf numFmtId="0" fontId="13" fillId="8" borderId="19" xfId="5" applyFill="1" applyBorder="1" applyAlignment="1">
      <alignment horizontal="center" vertical="center"/>
    </xf>
    <xf numFmtId="0" fontId="13" fillId="8" borderId="128" xfId="5" applyFill="1" applyBorder="1" applyAlignment="1">
      <alignment horizontal="center" vertical="center"/>
    </xf>
    <xf numFmtId="0" fontId="13" fillId="8" borderId="22" xfId="5" applyFill="1" applyBorder="1" applyAlignment="1">
      <alignment horizontal="center" vertical="center"/>
    </xf>
    <xf numFmtId="0" fontId="25" fillId="8" borderId="0" xfId="5" applyFont="1" applyFill="1" applyAlignment="1">
      <alignment vertical="center"/>
    </xf>
    <xf numFmtId="0" fontId="26" fillId="8" borderId="0" xfId="5" applyFont="1" applyFill="1" applyAlignment="1">
      <alignment horizontal="center" vertical="center"/>
    </xf>
    <xf numFmtId="0" fontId="25" fillId="8" borderId="0" xfId="5" applyFont="1" applyFill="1" applyAlignment="1">
      <alignment horizontal="center" vertical="center"/>
    </xf>
    <xf numFmtId="0" fontId="27" fillId="8" borderId="34" xfId="5" applyFont="1" applyFill="1" applyBorder="1" applyAlignment="1">
      <alignment horizontal="center" vertical="center"/>
    </xf>
    <xf numFmtId="0" fontId="24" fillId="8" borderId="91" xfId="5" applyFont="1" applyFill="1" applyBorder="1" applyAlignment="1">
      <alignment vertical="center"/>
    </xf>
    <xf numFmtId="169" fontId="24" fillId="8" borderId="94" xfId="5" applyNumberFormat="1" applyFont="1" applyFill="1" applyBorder="1" applyAlignment="1">
      <alignment horizontal="center" vertical="center"/>
    </xf>
    <xf numFmtId="169" fontId="24" fillId="8" borderId="100" xfId="5" applyNumberFormat="1" applyFont="1" applyFill="1" applyBorder="1" applyAlignment="1">
      <alignment horizontal="center" vertical="center"/>
    </xf>
    <xf numFmtId="0" fontId="21" fillId="8" borderId="16" xfId="5" applyFont="1" applyFill="1" applyBorder="1" applyAlignment="1">
      <alignment horizontal="center" vertical="center"/>
    </xf>
    <xf numFmtId="0" fontId="24" fillId="8" borderId="70" xfId="5" applyFont="1" applyFill="1" applyBorder="1" applyAlignment="1">
      <alignment vertical="center"/>
    </xf>
    <xf numFmtId="169" fontId="24" fillId="8" borderId="106" xfId="5" applyNumberFormat="1" applyFont="1" applyFill="1" applyBorder="1" applyAlignment="1">
      <alignment horizontal="center" vertical="center"/>
    </xf>
    <xf numFmtId="0" fontId="27" fillId="8" borderId="67" xfId="5" applyFont="1" applyFill="1" applyBorder="1" applyAlignment="1">
      <alignment horizontal="center" vertical="center"/>
    </xf>
    <xf numFmtId="0" fontId="24" fillId="8" borderId="0" xfId="5" quotePrefix="1" applyFont="1" applyFill="1" applyAlignment="1">
      <alignment vertical="center"/>
    </xf>
    <xf numFmtId="0" fontId="27" fillId="8" borderId="22" xfId="5" applyFont="1" applyFill="1" applyBorder="1" applyAlignment="1">
      <alignment horizontal="center" vertical="center"/>
    </xf>
    <xf numFmtId="0" fontId="24" fillId="8" borderId="17" xfId="5" applyFont="1" applyFill="1" applyBorder="1" applyAlignment="1">
      <alignment vertical="center"/>
    </xf>
    <xf numFmtId="169" fontId="24" fillId="8" borderId="19" xfId="5" applyNumberFormat="1" applyFont="1" applyFill="1" applyBorder="1" applyAlignment="1">
      <alignment horizontal="center" vertical="center"/>
    </xf>
    <xf numFmtId="0" fontId="21" fillId="8" borderId="115" xfId="5" applyFont="1" applyFill="1" applyBorder="1" applyAlignment="1">
      <alignment horizontal="center" vertical="center"/>
    </xf>
    <xf numFmtId="0" fontId="24" fillId="8" borderId="28" xfId="5" applyFont="1" applyFill="1" applyBorder="1" applyAlignment="1">
      <alignment horizontal="right" vertical="center"/>
    </xf>
    <xf numFmtId="169" fontId="24" fillId="8" borderId="51" xfId="5" applyNumberFormat="1" applyFont="1" applyFill="1" applyBorder="1" applyAlignment="1">
      <alignment horizontal="center" vertical="center"/>
    </xf>
    <xf numFmtId="0" fontId="10" fillId="8" borderId="0" xfId="5" applyFont="1" applyFill="1" applyAlignment="1">
      <alignment vertical="center"/>
    </xf>
    <xf numFmtId="0" fontId="21" fillId="8" borderId="0" xfId="5" applyFont="1" applyFill="1" applyAlignment="1">
      <alignment vertical="center"/>
    </xf>
    <xf numFmtId="169" fontId="24" fillId="8" borderId="15" xfId="5" applyNumberFormat="1" applyFont="1" applyFill="1" applyBorder="1" applyAlignment="1">
      <alignment horizontal="center" vertical="center"/>
    </xf>
    <xf numFmtId="0" fontId="29" fillId="8" borderId="67" xfId="5" applyFont="1" applyFill="1" applyBorder="1" applyAlignment="1">
      <alignment horizontal="center" vertical="center"/>
    </xf>
    <xf numFmtId="0" fontId="24" fillId="8" borderId="67" xfId="5" applyFont="1" applyFill="1" applyBorder="1" applyAlignment="1">
      <alignment horizontal="center" vertical="center"/>
    </xf>
    <xf numFmtId="0" fontId="29" fillId="8" borderId="22" xfId="5" applyFont="1" applyFill="1" applyBorder="1" applyAlignment="1">
      <alignment horizontal="center" vertical="center"/>
    </xf>
    <xf numFmtId="0" fontId="24" fillId="8" borderId="115" xfId="5" applyFont="1" applyFill="1" applyBorder="1" applyAlignment="1">
      <alignment horizontal="center" vertical="center"/>
    </xf>
    <xf numFmtId="169" fontId="24" fillId="8" borderId="23" xfId="5" applyNumberFormat="1" applyFont="1" applyFill="1" applyBorder="1" applyAlignment="1">
      <alignment horizontal="center" vertical="center"/>
    </xf>
    <xf numFmtId="0" fontId="29" fillId="8" borderId="16" xfId="5" applyFont="1" applyFill="1" applyBorder="1" applyAlignment="1">
      <alignment horizontal="center" vertical="center"/>
    </xf>
    <xf numFmtId="0" fontId="24" fillId="8" borderId="64" xfId="5" applyFont="1" applyFill="1" applyBorder="1" applyAlignment="1">
      <alignment vertical="center"/>
    </xf>
    <xf numFmtId="169" fontId="24" fillId="8" borderId="97" xfId="5" applyNumberFormat="1" applyFont="1" applyFill="1" applyBorder="1" applyAlignment="1">
      <alignment horizontal="center" vertical="center"/>
    </xf>
    <xf numFmtId="169" fontId="24" fillId="8" borderId="110" xfId="5" applyNumberFormat="1" applyFont="1" applyFill="1" applyBorder="1" applyAlignment="1">
      <alignment horizontal="center" vertical="center"/>
    </xf>
    <xf numFmtId="0" fontId="26" fillId="8" borderId="0" xfId="5" applyFont="1" applyFill="1" applyAlignment="1">
      <alignment horizontal="center" vertical="center" textRotation="90" wrapText="1"/>
    </xf>
    <xf numFmtId="0" fontId="24" fillId="8" borderId="0" xfId="5" applyFont="1" applyFill="1" applyAlignment="1">
      <alignment horizontal="center" vertical="center"/>
    </xf>
    <xf numFmtId="0" fontId="24" fillId="8" borderId="0" xfId="5" applyFont="1" applyFill="1" applyAlignment="1">
      <alignment horizontal="right" vertical="center"/>
    </xf>
    <xf numFmtId="169" fontId="24" fillId="8" borderId="0" xfId="5" applyNumberFormat="1" applyFont="1" applyFill="1" applyAlignment="1">
      <alignment horizontal="center" vertical="center"/>
    </xf>
    <xf numFmtId="169" fontId="24" fillId="8" borderId="71" xfId="5" applyNumberFormat="1" applyFont="1" applyFill="1" applyBorder="1" applyAlignment="1">
      <alignment horizontal="center" vertical="center"/>
    </xf>
    <xf numFmtId="169" fontId="24" fillId="8" borderId="113" xfId="5" applyNumberFormat="1" applyFont="1" applyFill="1" applyBorder="1" applyAlignment="1">
      <alignment horizontal="center" vertical="center"/>
    </xf>
    <xf numFmtId="0" fontId="10" fillId="8" borderId="70" xfId="5" applyFont="1" applyFill="1" applyBorder="1" applyAlignment="1">
      <alignment vertical="center"/>
    </xf>
    <xf numFmtId="169" fontId="24" fillId="8" borderId="64" xfId="5" applyNumberFormat="1" applyFont="1" applyFill="1" applyBorder="1" applyAlignment="1">
      <alignment horizontal="center" vertical="center"/>
    </xf>
    <xf numFmtId="169" fontId="24" fillId="8" borderId="139" xfId="5" applyNumberFormat="1" applyFont="1" applyFill="1" applyBorder="1" applyAlignment="1">
      <alignment horizontal="center" vertical="center"/>
    </xf>
    <xf numFmtId="169" fontId="24" fillId="8" borderId="116" xfId="5" applyNumberFormat="1" applyFont="1" applyFill="1" applyBorder="1" applyAlignment="1">
      <alignment horizontal="center" vertical="center"/>
    </xf>
    <xf numFmtId="0" fontId="27" fillId="8" borderId="141" xfId="5" applyFont="1" applyFill="1" applyBorder="1" applyAlignment="1">
      <alignment horizontal="center" vertical="center"/>
    </xf>
    <xf numFmtId="0" fontId="24" fillId="8" borderId="141" xfId="5" applyFont="1" applyFill="1" applyBorder="1" applyAlignment="1">
      <alignment vertical="center"/>
    </xf>
    <xf numFmtId="169" fontId="24" fillId="8" borderId="141" xfId="5" applyNumberFormat="1" applyFont="1" applyFill="1" applyBorder="1" applyAlignment="1">
      <alignment horizontal="center" vertical="center"/>
    </xf>
    <xf numFmtId="0" fontId="24" fillId="8" borderId="142" xfId="5" applyFont="1" applyFill="1" applyBorder="1" applyAlignment="1">
      <alignment vertical="center"/>
    </xf>
    <xf numFmtId="169" fontId="24" fillId="8" borderId="142" xfId="5" applyNumberFormat="1" applyFont="1" applyFill="1" applyBorder="1" applyAlignment="1">
      <alignment horizontal="center" vertical="center"/>
    </xf>
    <xf numFmtId="0" fontId="27" fillId="8" borderId="142" xfId="5" applyFont="1" applyFill="1" applyBorder="1" applyAlignment="1">
      <alignment horizontal="center" vertical="center"/>
    </xf>
    <xf numFmtId="169" fontId="24" fillId="8" borderId="143" xfId="5" applyNumberFormat="1" applyFont="1" applyFill="1" applyBorder="1" applyAlignment="1">
      <alignment horizontal="center" vertical="center"/>
    </xf>
    <xf numFmtId="169" fontId="24" fillId="8" borderId="136" xfId="5" applyNumberFormat="1" applyFont="1" applyFill="1" applyBorder="1" applyAlignment="1">
      <alignment horizontal="center" vertical="center"/>
    </xf>
    <xf numFmtId="0" fontId="24" fillId="8" borderId="136" xfId="5" applyFont="1" applyFill="1" applyBorder="1" applyAlignment="1">
      <alignment vertical="center"/>
    </xf>
    <xf numFmtId="0" fontId="27" fillId="8" borderId="136" xfId="5" applyFont="1" applyFill="1" applyBorder="1" applyAlignment="1">
      <alignment horizontal="center" vertical="center"/>
    </xf>
    <xf numFmtId="169" fontId="24" fillId="8" borderId="144" xfId="5" applyNumberFormat="1" applyFont="1" applyFill="1" applyBorder="1" applyAlignment="1">
      <alignment horizontal="center" vertical="center"/>
    </xf>
    <xf numFmtId="0" fontId="31" fillId="8" borderId="0" xfId="5" applyFont="1" applyFill="1" applyAlignment="1">
      <alignment horizontal="left" vertical="center"/>
    </xf>
    <xf numFmtId="169" fontId="22" fillId="8" borderId="0" xfId="5" quotePrefix="1" applyNumberFormat="1" applyFont="1" applyFill="1" applyAlignment="1">
      <alignment horizontal="center" vertical="center"/>
    </xf>
    <xf numFmtId="170" fontId="22" fillId="8" borderId="0" xfId="1" applyNumberFormat="1" applyFont="1" applyFill="1" applyAlignment="1">
      <alignment vertical="center"/>
    </xf>
    <xf numFmtId="171" fontId="22" fillId="8" borderId="0" xfId="5" applyNumberFormat="1" applyFont="1" applyFill="1" applyAlignment="1">
      <alignment vertical="center"/>
    </xf>
    <xf numFmtId="169" fontId="22" fillId="8" borderId="70" xfId="5" quotePrefix="1" applyNumberFormat="1" applyFont="1" applyFill="1" applyBorder="1" applyAlignment="1">
      <alignment horizontal="left" vertical="center" indent="2"/>
    </xf>
    <xf numFmtId="169" fontId="22" fillId="8" borderId="70" xfId="5" quotePrefix="1" applyNumberFormat="1" applyFont="1" applyFill="1" applyBorder="1" applyAlignment="1">
      <alignment horizontal="center" vertical="center"/>
    </xf>
    <xf numFmtId="170" fontId="22" fillId="8" borderId="70" xfId="1" applyNumberFormat="1" applyFont="1" applyFill="1" applyBorder="1" applyAlignment="1">
      <alignment vertical="center"/>
    </xf>
    <xf numFmtId="171" fontId="22" fillId="8" borderId="70" xfId="5" applyNumberFormat="1" applyFont="1" applyFill="1" applyBorder="1" applyAlignment="1">
      <alignment vertical="center"/>
    </xf>
    <xf numFmtId="0" fontId="7" fillId="0" borderId="145" xfId="2" applyFont="1" applyBorder="1" applyAlignment="1">
      <alignment horizontal="right" vertical="center"/>
    </xf>
    <xf numFmtId="17" fontId="7" fillId="0" borderId="66" xfId="2" quotePrefix="1" applyNumberFormat="1" applyFont="1" applyBorder="1" applyAlignment="1">
      <alignment horizontal="center" vertical="center"/>
    </xf>
    <xf numFmtId="17" fontId="7" fillId="0" borderId="48" xfId="2" quotePrefix="1" applyNumberFormat="1" applyFont="1" applyBorder="1" applyAlignment="1">
      <alignment horizontal="center" vertical="center"/>
    </xf>
    <xf numFmtId="17" fontId="7" fillId="0" borderId="67" xfId="2" quotePrefix="1" applyNumberFormat="1" applyFont="1" applyBorder="1" applyAlignment="1">
      <alignment horizontal="center" vertical="center"/>
    </xf>
    <xf numFmtId="17" fontId="7" fillId="3" borderId="0" xfId="2" quotePrefix="1" applyNumberFormat="1" applyFont="1" applyFill="1" applyAlignment="1">
      <alignment horizontal="center" vertical="center"/>
    </xf>
    <xf numFmtId="1" fontId="7" fillId="0" borderId="68" xfId="2" quotePrefix="1" applyNumberFormat="1" applyFont="1" applyBorder="1" applyAlignment="1">
      <alignment horizontal="center" vertical="center"/>
    </xf>
    <xf numFmtId="38" fontId="4" fillId="0" borderId="147" xfId="3" applyFont="1" applyFill="1" applyBorder="1" applyAlignment="1">
      <alignment horizontal="center" vertical="center"/>
    </xf>
    <xf numFmtId="38" fontId="4" fillId="0" borderId="148" xfId="3" applyFont="1" applyFill="1" applyBorder="1" applyAlignment="1">
      <alignment horizontal="center" vertical="center"/>
    </xf>
    <xf numFmtId="38" fontId="7" fillId="0" borderId="22" xfId="3" applyFont="1" applyFill="1" applyBorder="1" applyAlignment="1">
      <alignment horizontal="center" vertical="center"/>
    </xf>
    <xf numFmtId="38" fontId="7" fillId="0" borderId="148" xfId="3" applyFont="1" applyFill="1" applyBorder="1" applyAlignment="1">
      <alignment horizontal="center" vertical="center"/>
    </xf>
    <xf numFmtId="38" fontId="7" fillId="4" borderId="19" xfId="3" applyFont="1" applyFill="1" applyBorder="1" applyAlignment="1">
      <alignment horizontal="center" vertical="center"/>
    </xf>
    <xf numFmtId="38" fontId="7" fillId="0" borderId="24" xfId="3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38" fontId="4" fillId="0" borderId="149" xfId="3" applyFont="1" applyFill="1" applyBorder="1" applyAlignment="1">
      <alignment horizontal="center" vertical="center"/>
    </xf>
    <xf numFmtId="38" fontId="4" fillId="0" borderId="23" xfId="3" quotePrefix="1" applyFont="1" applyFill="1" applyBorder="1" applyAlignment="1">
      <alignment horizontal="center" vertical="center"/>
    </xf>
    <xf numFmtId="38" fontId="4" fillId="0" borderId="34" xfId="3" quotePrefix="1" applyFont="1" applyFill="1" applyBorder="1" applyAlignment="1">
      <alignment horizontal="center" vertical="center"/>
    </xf>
    <xf numFmtId="38" fontId="4" fillId="0" borderId="150" xfId="3" quotePrefix="1" applyFont="1" applyFill="1" applyBorder="1" applyAlignment="1">
      <alignment horizontal="center" vertical="center"/>
    </xf>
    <xf numFmtId="38" fontId="4" fillId="0" borderId="74" xfId="3" applyFont="1" applyFill="1" applyBorder="1" applyAlignment="1">
      <alignment horizontal="center" vertical="center"/>
    </xf>
    <xf numFmtId="38" fontId="7" fillId="0" borderId="54" xfId="3" applyFont="1" applyFill="1" applyBorder="1" applyAlignment="1">
      <alignment horizontal="center" vertical="center"/>
    </xf>
    <xf numFmtId="38" fontId="4" fillId="0" borderId="26" xfId="3" applyFont="1" applyFill="1" applyBorder="1" applyAlignment="1">
      <alignment horizontal="center" vertical="center"/>
    </xf>
    <xf numFmtId="38" fontId="4" fillId="0" borderId="151" xfId="3" applyFont="1" applyFill="1" applyBorder="1" applyAlignment="1">
      <alignment horizontal="center" vertical="center" wrapText="1"/>
    </xf>
    <xf numFmtId="173" fontId="12" fillId="0" borderId="14" xfId="3" applyNumberFormat="1" applyFont="1" applyFill="1" applyBorder="1" applyAlignment="1">
      <alignment horizontal="center" vertical="center"/>
    </xf>
    <xf numFmtId="173" fontId="12" fillId="0" borderId="63" xfId="3" applyNumberFormat="1" applyFont="1" applyFill="1" applyBorder="1" applyAlignment="1">
      <alignment horizontal="center" vertical="center"/>
    </xf>
    <xf numFmtId="173" fontId="12" fillId="0" borderId="74" xfId="3" applyNumberFormat="1" applyFont="1" applyFill="1" applyBorder="1" applyAlignment="1">
      <alignment horizontal="center" vertical="center"/>
    </xf>
    <xf numFmtId="172" fontId="12" fillId="0" borderId="30" xfId="3" applyNumberFormat="1" applyFont="1" applyFill="1" applyBorder="1" applyAlignment="1">
      <alignment horizontal="center" vertical="center"/>
    </xf>
    <xf numFmtId="172" fontId="12" fillId="0" borderId="32" xfId="3" quotePrefix="1" applyNumberFormat="1" applyFont="1" applyFill="1" applyBorder="1" applyAlignment="1">
      <alignment horizontal="center" vertical="center"/>
    </xf>
    <xf numFmtId="172" fontId="12" fillId="0" borderId="47" xfId="3" applyNumberFormat="1" applyFont="1" applyFill="1" applyBorder="1" applyAlignment="1">
      <alignment horizontal="center" vertical="center"/>
    </xf>
    <xf numFmtId="173" fontId="12" fillId="0" borderId="18" xfId="3" applyNumberFormat="1" applyFont="1" applyFill="1" applyBorder="1" applyAlignment="1">
      <alignment horizontal="center" vertical="center"/>
    </xf>
    <xf numFmtId="173" fontId="12" fillId="0" borderId="45" xfId="3" applyNumberFormat="1" applyFont="1" applyFill="1" applyBorder="1" applyAlignment="1">
      <alignment horizontal="center" vertical="center"/>
    </xf>
    <xf numFmtId="173" fontId="12" fillId="0" borderId="15" xfId="3" applyNumberFormat="1" applyFont="1" applyFill="1" applyBorder="1" applyAlignment="1">
      <alignment horizontal="center" vertical="center"/>
    </xf>
    <xf numFmtId="172" fontId="12" fillId="0" borderId="30" xfId="3" quotePrefix="1" applyNumberFormat="1" applyFont="1" applyFill="1" applyBorder="1" applyAlignment="1">
      <alignment horizontal="center" vertical="center"/>
    </xf>
    <xf numFmtId="0" fontId="13" fillId="8" borderId="0" xfId="5" applyFill="1"/>
    <xf numFmtId="0" fontId="32" fillId="8" borderId="0" xfId="5" quotePrefix="1" applyFont="1" applyFill="1" applyAlignment="1">
      <alignment vertical="center"/>
    </xf>
    <xf numFmtId="0" fontId="32" fillId="8" borderId="0" xfId="5" applyFont="1" applyFill="1" applyAlignment="1">
      <alignment horizontal="left" vertical="center" indent="4"/>
    </xf>
    <xf numFmtId="164" fontId="13" fillId="8" borderId="0" xfId="5" applyNumberFormat="1" applyFill="1"/>
    <xf numFmtId="164" fontId="11" fillId="8" borderId="0" xfId="5" applyNumberFormat="1" applyFont="1" applyFill="1" applyAlignment="1">
      <alignment horizontal="right"/>
    </xf>
    <xf numFmtId="174" fontId="11" fillId="8" borderId="0" xfId="5" applyNumberFormat="1" applyFont="1" applyFill="1"/>
    <xf numFmtId="164" fontId="11" fillId="8" borderId="0" xfId="5" applyNumberFormat="1" applyFont="1" applyFill="1"/>
    <xf numFmtId="175" fontId="11" fillId="8" borderId="28" xfId="6" applyNumberFormat="1" applyFont="1" applyFill="1" applyBorder="1" applyAlignment="1"/>
    <xf numFmtId="164" fontId="28" fillId="9" borderId="0" xfId="5" applyNumberFormat="1" applyFont="1" applyFill="1" applyAlignment="1">
      <alignment horizontal="center"/>
    </xf>
    <xf numFmtId="0" fontId="28" fillId="10" borderId="154" xfId="5" applyFont="1" applyFill="1" applyBorder="1" applyAlignment="1">
      <alignment horizontal="center" vertical="center" wrapText="1"/>
    </xf>
    <xf numFmtId="0" fontId="28" fillId="8" borderId="155" xfId="5" applyFont="1" applyFill="1" applyBorder="1" applyAlignment="1">
      <alignment horizontal="center" vertical="center" wrapText="1"/>
    </xf>
    <xf numFmtId="0" fontId="28" fillId="3" borderId="155" xfId="5" applyFont="1" applyFill="1" applyBorder="1" applyAlignment="1">
      <alignment horizontal="center" vertical="center" wrapText="1"/>
    </xf>
    <xf numFmtId="0" fontId="28" fillId="10" borderId="155" xfId="5" applyFont="1" applyFill="1" applyBorder="1" applyAlignment="1">
      <alignment horizontal="center" vertical="center" wrapText="1"/>
    </xf>
    <xf numFmtId="0" fontId="28" fillId="11" borderId="155" xfId="5" applyFont="1" applyFill="1" applyBorder="1" applyAlignment="1">
      <alignment horizontal="center" vertical="center" wrapText="1"/>
    </xf>
    <xf numFmtId="0" fontId="28" fillId="3" borderId="156" xfId="5" applyFont="1" applyFill="1" applyBorder="1" applyAlignment="1">
      <alignment horizontal="center" vertical="center" wrapText="1"/>
    </xf>
    <xf numFmtId="164" fontId="13" fillId="8" borderId="0" xfId="5" applyNumberFormat="1" applyFill="1" applyAlignment="1">
      <alignment horizontal="center" vertical="center"/>
    </xf>
    <xf numFmtId="164" fontId="20" fillId="8" borderId="30" xfId="5" applyNumberFormat="1" applyFont="1" applyFill="1" applyBorder="1" applyAlignment="1">
      <alignment horizontal="center" vertical="center"/>
    </xf>
    <xf numFmtId="164" fontId="33" fillId="12" borderId="61" xfId="5" applyNumberFormat="1" applyFont="1" applyFill="1" applyBorder="1" applyAlignment="1">
      <alignment horizontal="center" vertical="center"/>
    </xf>
    <xf numFmtId="164" fontId="33" fillId="12" borderId="30" xfId="5" applyNumberFormat="1" applyFont="1" applyFill="1" applyBorder="1" applyAlignment="1">
      <alignment horizontal="center" vertical="center"/>
    </xf>
    <xf numFmtId="164" fontId="33" fillId="12" borderId="33" xfId="5" applyNumberFormat="1" applyFont="1" applyFill="1" applyBorder="1" applyAlignment="1">
      <alignment horizontal="center" vertical="center"/>
    </xf>
    <xf numFmtId="164" fontId="11" fillId="8" borderId="120" xfId="5" applyNumberFormat="1" applyFont="1" applyFill="1" applyBorder="1" applyAlignment="1">
      <alignment vertical="top"/>
    </xf>
    <xf numFmtId="0" fontId="20" fillId="8" borderId="158" xfId="5" applyFont="1" applyFill="1" applyBorder="1" applyAlignment="1">
      <alignment horizontal="center" vertical="center"/>
    </xf>
    <xf numFmtId="0" fontId="20" fillId="8" borderId="77" xfId="5" applyFont="1" applyFill="1" applyBorder="1" applyAlignment="1">
      <alignment horizontal="center" vertical="center"/>
    </xf>
    <xf numFmtId="0" fontId="20" fillId="13" borderId="77" xfId="5" applyFont="1" applyFill="1" applyBorder="1" applyAlignment="1">
      <alignment horizontal="center" vertical="center"/>
    </xf>
    <xf numFmtId="0" fontId="20" fillId="8" borderId="120" xfId="5" applyFont="1" applyFill="1" applyBorder="1" applyAlignment="1">
      <alignment horizontal="center" vertical="center"/>
    </xf>
    <xf numFmtId="164" fontId="11" fillId="8" borderId="122" xfId="5" applyNumberFormat="1" applyFont="1" applyFill="1" applyBorder="1" applyAlignment="1">
      <alignment vertical="top"/>
    </xf>
    <xf numFmtId="0" fontId="20" fillId="8" borderId="159" xfId="5" applyFont="1" applyFill="1" applyBorder="1" applyAlignment="1">
      <alignment horizontal="center" vertical="center"/>
    </xf>
    <xf numFmtId="0" fontId="20" fillId="8" borderId="86" xfId="5" applyFont="1" applyFill="1" applyBorder="1" applyAlignment="1">
      <alignment horizontal="center" vertical="center"/>
    </xf>
    <xf numFmtId="0" fontId="20" fillId="13" borderId="86" xfId="5" applyFont="1" applyFill="1" applyBorder="1" applyAlignment="1">
      <alignment horizontal="center" vertical="center"/>
    </xf>
    <xf numFmtId="0" fontId="20" fillId="8" borderId="122" xfId="5" applyFont="1" applyFill="1" applyBorder="1" applyAlignment="1">
      <alignment horizontal="center" vertical="center"/>
    </xf>
    <xf numFmtId="164" fontId="11" fillId="8" borderId="123" xfId="5" applyNumberFormat="1" applyFont="1" applyFill="1" applyBorder="1" applyAlignment="1">
      <alignment vertical="top"/>
    </xf>
    <xf numFmtId="0" fontId="20" fillId="8" borderId="160" xfId="5" applyFont="1" applyFill="1" applyBorder="1" applyAlignment="1">
      <alignment horizontal="center" vertical="top"/>
    </xf>
    <xf numFmtId="0" fontId="20" fillId="8" borderId="161" xfId="5" applyFont="1" applyFill="1" applyBorder="1" applyAlignment="1">
      <alignment horizontal="center" vertical="top"/>
    </xf>
    <xf numFmtId="0" fontId="20" fillId="13" borderId="161" xfId="5" applyFont="1" applyFill="1" applyBorder="1" applyAlignment="1">
      <alignment horizontal="center" vertical="top"/>
    </xf>
    <xf numFmtId="0" fontId="20" fillId="8" borderId="162" xfId="5" applyFont="1" applyFill="1" applyBorder="1" applyAlignment="1">
      <alignment horizontal="center" vertical="top"/>
    </xf>
    <xf numFmtId="164" fontId="13" fillId="8" borderId="0" xfId="5" applyNumberFormat="1" applyFill="1" applyAlignment="1">
      <alignment horizontal="center" vertical="top"/>
    </xf>
    <xf numFmtId="0" fontId="20" fillId="8" borderId="160" xfId="5" applyFont="1" applyFill="1" applyBorder="1" applyAlignment="1">
      <alignment horizontal="center" vertical="center"/>
    </xf>
    <xf numFmtId="0" fontId="20" fillId="8" borderId="161" xfId="5" applyFont="1" applyFill="1" applyBorder="1" applyAlignment="1">
      <alignment horizontal="center" vertical="center"/>
    </xf>
    <xf numFmtId="0" fontId="20" fillId="13" borderId="161" xfId="5" applyFont="1" applyFill="1" applyBorder="1" applyAlignment="1">
      <alignment horizontal="center" vertical="center"/>
    </xf>
    <xf numFmtId="164" fontId="11" fillId="8" borderId="162" xfId="5" applyNumberFormat="1" applyFont="1" applyFill="1" applyBorder="1" applyAlignment="1">
      <alignment vertical="top"/>
    </xf>
    <xf numFmtId="0" fontId="20" fillId="8" borderId="163" xfId="5" applyFont="1" applyFill="1" applyBorder="1" applyAlignment="1">
      <alignment horizontal="center" vertical="center"/>
    </xf>
    <xf numFmtId="0" fontId="20" fillId="8" borderId="164" xfId="5" applyFont="1" applyFill="1" applyBorder="1" applyAlignment="1">
      <alignment horizontal="center" vertical="center"/>
    </xf>
    <xf numFmtId="0" fontId="20" fillId="8" borderId="165" xfId="5" applyFont="1" applyFill="1" applyBorder="1" applyAlignment="1">
      <alignment horizontal="center" vertical="center"/>
    </xf>
    <xf numFmtId="164" fontId="11" fillId="8" borderId="89" xfId="5" quotePrefix="1" applyNumberFormat="1" applyFont="1" applyFill="1" applyBorder="1" applyAlignment="1">
      <alignment horizontal="center" vertical="center"/>
    </xf>
    <xf numFmtId="164" fontId="11" fillId="8" borderId="15" xfId="5" applyNumberFormat="1" applyFont="1" applyFill="1" applyBorder="1" applyAlignment="1">
      <alignment horizontal="center" vertical="center" wrapText="1"/>
    </xf>
    <xf numFmtId="166" fontId="20" fillId="8" borderId="15" xfId="6" applyFont="1" applyFill="1" applyBorder="1" applyAlignment="1">
      <alignment horizontal="center" vertical="center" wrapText="1"/>
    </xf>
    <xf numFmtId="170" fontId="11" fillId="8" borderId="15" xfId="6" applyNumberFormat="1" applyFont="1" applyFill="1" applyBorder="1" applyAlignment="1">
      <alignment horizontal="center" vertical="center" wrapText="1"/>
    </xf>
    <xf numFmtId="176" fontId="11" fillId="8" borderId="19" xfId="5" applyNumberFormat="1" applyFont="1" applyFill="1" applyBorder="1" applyAlignment="1">
      <alignment horizontal="center" vertical="center"/>
    </xf>
    <xf numFmtId="177" fontId="11" fillId="8" borderId="19" xfId="5" applyNumberFormat="1" applyFont="1" applyFill="1" applyBorder="1" applyAlignment="1">
      <alignment horizontal="center" vertical="center"/>
    </xf>
    <xf numFmtId="164" fontId="11" fillId="8" borderId="128" xfId="5" applyNumberFormat="1" applyFont="1" applyFill="1" applyBorder="1" applyAlignment="1">
      <alignment horizontal="center" vertical="center"/>
    </xf>
    <xf numFmtId="0" fontId="20" fillId="8" borderId="162" xfId="5" applyFont="1" applyFill="1" applyBorder="1" applyAlignment="1">
      <alignment horizontal="center" vertical="center"/>
    </xf>
    <xf numFmtId="164" fontId="13" fillId="8" borderId="20" xfId="5" applyNumberFormat="1" applyFill="1" applyBorder="1" applyAlignment="1">
      <alignment horizontal="center" vertical="center"/>
    </xf>
    <xf numFmtId="0" fontId="20" fillId="8" borderId="166" xfId="5" applyFont="1" applyFill="1" applyBorder="1" applyAlignment="1">
      <alignment horizontal="center" vertical="center"/>
    </xf>
    <xf numFmtId="0" fontId="20" fillId="8" borderId="102" xfId="5" applyFont="1" applyFill="1" applyBorder="1" applyAlignment="1">
      <alignment horizontal="center" vertical="center"/>
    </xf>
    <xf numFmtId="0" fontId="20" fillId="8" borderId="121" xfId="5" applyFont="1" applyFill="1" applyBorder="1" applyAlignment="1">
      <alignment horizontal="center" vertical="center"/>
    </xf>
    <xf numFmtId="164" fontId="24" fillId="8" borderId="167" xfId="5" applyNumberFormat="1" applyFont="1" applyFill="1" applyBorder="1" applyAlignment="1">
      <alignment vertical="center"/>
    </xf>
    <xf numFmtId="164" fontId="24" fillId="8" borderId="83" xfId="5" applyNumberFormat="1" applyFont="1" applyFill="1" applyBorder="1" applyAlignment="1">
      <alignment vertical="center"/>
    </xf>
    <xf numFmtId="169" fontId="24" fillId="8" borderId="83" xfId="5" applyNumberFormat="1" applyFont="1" applyFill="1" applyBorder="1" applyAlignment="1">
      <alignment horizontal="center" vertical="center"/>
    </xf>
    <xf numFmtId="169" fontId="24" fillId="8" borderId="83" xfId="5" applyNumberFormat="1" applyFont="1" applyFill="1" applyBorder="1" applyAlignment="1">
      <alignment vertical="center"/>
    </xf>
    <xf numFmtId="164" fontId="24" fillId="8" borderId="169" xfId="5" applyNumberFormat="1" applyFont="1" applyFill="1" applyBorder="1" applyAlignment="1">
      <alignment vertical="center"/>
    </xf>
    <xf numFmtId="164" fontId="10" fillId="8" borderId="0" xfId="5" applyNumberFormat="1" applyFont="1" applyFill="1" applyAlignment="1">
      <alignment vertical="center"/>
    </xf>
    <xf numFmtId="164" fontId="24" fillId="8" borderId="26" xfId="5" applyNumberFormat="1" applyFont="1" applyFill="1" applyBorder="1" applyAlignment="1">
      <alignment vertical="center"/>
    </xf>
    <xf numFmtId="164" fontId="24" fillId="8" borderId="28" xfId="5" applyNumberFormat="1" applyFont="1" applyFill="1" applyBorder="1" applyAlignment="1">
      <alignment vertical="center"/>
    </xf>
    <xf numFmtId="169" fontId="24" fillId="8" borderId="28" xfId="5" applyNumberFormat="1" applyFont="1" applyFill="1" applyBorder="1" applyAlignment="1">
      <alignment horizontal="center" vertical="center"/>
    </xf>
    <xf numFmtId="169" fontId="24" fillId="8" borderId="28" xfId="5" applyNumberFormat="1" applyFont="1" applyFill="1" applyBorder="1" applyAlignment="1">
      <alignment vertical="center"/>
    </xf>
    <xf numFmtId="164" fontId="24" fillId="8" borderId="129" xfId="5" applyNumberFormat="1" applyFont="1" applyFill="1" applyBorder="1" applyAlignment="1">
      <alignment vertical="center"/>
    </xf>
    <xf numFmtId="164" fontId="24" fillId="14" borderId="28" xfId="5" applyNumberFormat="1" applyFont="1" applyFill="1" applyBorder="1" applyAlignment="1">
      <alignment vertical="center"/>
    </xf>
    <xf numFmtId="0" fontId="28" fillId="8" borderId="156" xfId="5" applyFont="1" applyFill="1" applyBorder="1" applyAlignment="1">
      <alignment horizontal="center" vertical="center" wrapText="1"/>
    </xf>
    <xf numFmtId="164" fontId="13" fillId="8" borderId="20" xfId="5" applyNumberFormat="1" applyFill="1" applyBorder="1" applyAlignment="1">
      <alignment horizontal="center" vertical="top"/>
    </xf>
    <xf numFmtId="0" fontId="20" fillId="8" borderId="157" xfId="5" applyFont="1" applyFill="1" applyBorder="1" applyAlignment="1">
      <alignment horizontal="center" vertical="top"/>
    </xf>
    <xf numFmtId="0" fontId="20" fillId="8" borderId="101" xfId="5" applyFont="1" applyFill="1" applyBorder="1" applyAlignment="1">
      <alignment horizontal="center" vertical="center"/>
    </xf>
    <xf numFmtId="0" fontId="20" fillId="13" borderId="102" xfId="5" applyFont="1" applyFill="1" applyBorder="1" applyAlignment="1">
      <alignment horizontal="center" vertical="center"/>
    </xf>
    <xf numFmtId="164" fontId="11" fillId="8" borderId="99" xfId="5" quotePrefix="1" applyNumberFormat="1" applyFont="1" applyFill="1" applyBorder="1" applyAlignment="1">
      <alignment horizontal="center" vertical="center"/>
    </xf>
    <xf numFmtId="164" fontId="11" fillId="8" borderId="48" xfId="5" applyNumberFormat="1" applyFont="1" applyFill="1" applyBorder="1" applyAlignment="1">
      <alignment horizontal="center" vertical="center" wrapText="1"/>
    </xf>
    <xf numFmtId="166" fontId="20" fillId="8" borderId="48" xfId="6" applyFont="1" applyFill="1" applyBorder="1" applyAlignment="1">
      <alignment horizontal="center" vertical="center" wrapText="1"/>
    </xf>
    <xf numFmtId="170" fontId="11" fillId="8" borderId="48" xfId="6" applyNumberFormat="1" applyFont="1" applyFill="1" applyBorder="1" applyAlignment="1">
      <alignment horizontal="center" vertical="center" wrapText="1"/>
    </xf>
    <xf numFmtId="176" fontId="11" fillId="8" borderId="23" xfId="5" applyNumberFormat="1" applyFont="1" applyFill="1" applyBorder="1" applyAlignment="1">
      <alignment horizontal="center" vertical="center"/>
    </xf>
    <xf numFmtId="177" fontId="11" fillId="8" borderId="23" xfId="5" applyNumberFormat="1" applyFont="1" applyFill="1" applyBorder="1" applyAlignment="1">
      <alignment horizontal="center" vertical="center"/>
    </xf>
    <xf numFmtId="164" fontId="11" fillId="8" borderId="98" xfId="5" applyNumberFormat="1" applyFont="1" applyFill="1" applyBorder="1" applyAlignment="1">
      <alignment horizontal="center" vertical="center"/>
    </xf>
    <xf numFmtId="164" fontId="10" fillId="8" borderId="83" xfId="5" applyNumberFormat="1" applyFont="1" applyFill="1" applyBorder="1" applyAlignment="1">
      <alignment vertical="center"/>
    </xf>
    <xf numFmtId="164" fontId="10" fillId="8" borderId="20" xfId="5" applyNumberFormat="1" applyFont="1" applyFill="1" applyBorder="1" applyAlignment="1">
      <alignment vertical="center"/>
    </xf>
    <xf numFmtId="164" fontId="10" fillId="8" borderId="28" xfId="5" applyNumberFormat="1" applyFont="1" applyFill="1" applyBorder="1" applyAlignment="1">
      <alignment vertical="center"/>
    </xf>
    <xf numFmtId="0" fontId="28" fillId="8" borderId="154" xfId="5" applyFont="1" applyFill="1" applyBorder="1" applyAlignment="1">
      <alignment horizontal="center" vertical="center" wrapText="1"/>
    </xf>
    <xf numFmtId="0" fontId="20" fillId="8" borderId="158" xfId="5" applyFont="1" applyFill="1" applyBorder="1" applyAlignment="1">
      <alignment horizontal="center" vertical="top"/>
    </xf>
    <xf numFmtId="0" fontId="20" fillId="8" borderId="77" xfId="5" applyFont="1" applyFill="1" applyBorder="1" applyAlignment="1">
      <alignment horizontal="center" vertical="top"/>
    </xf>
    <xf numFmtId="0" fontId="20" fillId="13" borderId="77" xfId="5" applyFont="1" applyFill="1" applyBorder="1" applyAlignment="1">
      <alignment horizontal="center" vertical="top"/>
    </xf>
    <xf numFmtId="0" fontId="20" fillId="8" borderId="159" xfId="5" applyFont="1" applyFill="1" applyBorder="1" applyAlignment="1">
      <alignment horizontal="center" vertical="top"/>
    </xf>
    <xf numFmtId="0" fontId="20" fillId="8" borderId="86" xfId="5" applyFont="1" applyFill="1" applyBorder="1" applyAlignment="1">
      <alignment horizontal="center" vertical="top"/>
    </xf>
    <xf numFmtId="0" fontId="20" fillId="13" borderId="86" xfId="5" applyFont="1" applyFill="1" applyBorder="1" applyAlignment="1">
      <alignment horizontal="center" vertical="top"/>
    </xf>
    <xf numFmtId="164" fontId="24" fillId="8" borderId="171" xfId="5" applyNumberFormat="1" applyFont="1" applyFill="1" applyBorder="1" applyAlignment="1">
      <alignment vertical="center"/>
    </xf>
    <xf numFmtId="0" fontId="9" fillId="2" borderId="0" xfId="2" applyFont="1" applyFill="1" applyAlignment="1">
      <alignment horizontal="center" vertical="center"/>
    </xf>
    <xf numFmtId="16" fontId="6" fillId="0" borderId="0" xfId="2" applyNumberFormat="1" applyFont="1" applyAlignment="1">
      <alignment horizontal="left" vertical="center"/>
    </xf>
    <xf numFmtId="38" fontId="7" fillId="0" borderId="62" xfId="3" quotePrefix="1" applyFont="1" applyFill="1" applyBorder="1" applyAlignment="1">
      <alignment horizontal="center" vertical="center"/>
    </xf>
    <xf numFmtId="38" fontId="7" fillId="0" borderId="114" xfId="3" applyFont="1" applyFill="1" applyBorder="1" applyAlignment="1">
      <alignment horizontal="center" vertical="center"/>
    </xf>
    <xf numFmtId="173" fontId="12" fillId="0" borderId="114" xfId="3" applyNumberFormat="1" applyFont="1" applyFill="1" applyBorder="1" applyAlignment="1">
      <alignment horizontal="center" vertical="center"/>
    </xf>
    <xf numFmtId="172" fontId="12" fillId="0" borderId="62" xfId="3" quotePrefix="1" applyNumberFormat="1" applyFont="1" applyFill="1" applyBorder="1" applyAlignment="1">
      <alignment horizontal="center" vertical="center"/>
    </xf>
    <xf numFmtId="38" fontId="7" fillId="4" borderId="150" xfId="3" quotePrefix="1" applyFont="1" applyFill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36" fillId="0" borderId="28" xfId="0" applyFont="1" applyBorder="1" applyAlignment="1">
      <alignment vertical="center"/>
    </xf>
    <xf numFmtId="0" fontId="0" fillId="8" borderId="0" xfId="0" applyFill="1"/>
    <xf numFmtId="0" fontId="36" fillId="8" borderId="178" xfId="0" applyFont="1" applyFill="1" applyBorder="1" applyAlignment="1">
      <alignment horizontal="center" vertical="center"/>
    </xf>
    <xf numFmtId="0" fontId="36" fillId="8" borderId="186" xfId="0" applyFont="1" applyFill="1" applyBorder="1" applyAlignment="1">
      <alignment horizontal="center" vertical="center"/>
    </xf>
    <xf numFmtId="0" fontId="0" fillId="8" borderId="179" xfId="0" applyFill="1" applyBorder="1" applyAlignment="1">
      <alignment horizontal="center" vertical="center"/>
    </xf>
    <xf numFmtId="0" fontId="0" fillId="8" borderId="188" xfId="0" applyFill="1" applyBorder="1" applyAlignment="1">
      <alignment horizontal="center" vertical="center"/>
    </xf>
    <xf numFmtId="0" fontId="0" fillId="8" borderId="177" xfId="0" applyFill="1" applyBorder="1" applyAlignment="1">
      <alignment horizontal="center" vertical="center"/>
    </xf>
    <xf numFmtId="0" fontId="0" fillId="8" borderId="183" xfId="0" applyFill="1" applyBorder="1" applyAlignment="1">
      <alignment horizontal="center" vertical="center"/>
    </xf>
    <xf numFmtId="0" fontId="0" fillId="8" borderId="178" xfId="0" applyFill="1" applyBorder="1" applyAlignment="1">
      <alignment horizontal="center" vertical="center"/>
    </xf>
    <xf numFmtId="0" fontId="0" fillId="8" borderId="186" xfId="0" applyFill="1" applyBorder="1" applyAlignment="1">
      <alignment horizontal="center" vertical="center"/>
    </xf>
    <xf numFmtId="0" fontId="0" fillId="8" borderId="180" xfId="0" applyFill="1" applyBorder="1" applyAlignment="1">
      <alignment horizontal="center" vertical="center"/>
    </xf>
    <xf numFmtId="0" fontId="0" fillId="8" borderId="187" xfId="0" applyFill="1" applyBorder="1" applyAlignment="1">
      <alignment horizontal="center" vertical="center"/>
    </xf>
    <xf numFmtId="0" fontId="0" fillId="8" borderId="181" xfId="0" applyFill="1" applyBorder="1" applyAlignment="1">
      <alignment horizontal="center" vertical="center"/>
    </xf>
    <xf numFmtId="0" fontId="0" fillId="8" borderId="189" xfId="0" applyFill="1" applyBorder="1" applyAlignment="1">
      <alignment horizontal="center" vertical="center"/>
    </xf>
    <xf numFmtId="0" fontId="0" fillId="8" borderId="176" xfId="0" applyFill="1" applyBorder="1" applyAlignment="1">
      <alignment horizontal="center" vertical="center"/>
    </xf>
    <xf numFmtId="0" fontId="0" fillId="8" borderId="182" xfId="0" applyFill="1" applyBorder="1" applyAlignment="1">
      <alignment horizontal="center" vertical="center"/>
    </xf>
    <xf numFmtId="0" fontId="0" fillId="8" borderId="195" xfId="0" applyFill="1" applyBorder="1" applyAlignment="1">
      <alignment horizontal="center" vertical="center"/>
    </xf>
    <xf numFmtId="0" fontId="0" fillId="8" borderId="196" xfId="0" applyFill="1" applyBorder="1" applyAlignment="1">
      <alignment horizontal="center" vertical="center"/>
    </xf>
    <xf numFmtId="0" fontId="0" fillId="8" borderId="199" xfId="0" applyFill="1" applyBorder="1" applyAlignment="1">
      <alignment horizontal="center" vertical="center"/>
    </xf>
    <xf numFmtId="0" fontId="0" fillId="8" borderId="200" xfId="0" applyFill="1" applyBorder="1" applyAlignment="1">
      <alignment horizontal="center" vertical="center"/>
    </xf>
    <xf numFmtId="0" fontId="0" fillId="8" borderId="201" xfId="0" applyFill="1" applyBorder="1" applyAlignment="1">
      <alignment horizontal="center" vertical="center"/>
    </xf>
    <xf numFmtId="0" fontId="0" fillId="8" borderId="202" xfId="0" applyFill="1" applyBorder="1" applyAlignment="1">
      <alignment horizontal="center" vertical="center"/>
    </xf>
    <xf numFmtId="0" fontId="0" fillId="8" borderId="197" xfId="0" applyFill="1" applyBorder="1" applyAlignment="1">
      <alignment horizontal="center" vertical="center"/>
    </xf>
    <xf numFmtId="0" fontId="0" fillId="8" borderId="198" xfId="0" applyFill="1" applyBorder="1" applyAlignment="1">
      <alignment horizontal="center" vertical="center"/>
    </xf>
    <xf numFmtId="0" fontId="0" fillId="8" borderId="203" xfId="0" applyFill="1" applyBorder="1" applyAlignment="1">
      <alignment horizontal="center" vertical="center"/>
    </xf>
    <xf numFmtId="0" fontId="0" fillId="8" borderId="204" xfId="0" applyFill="1" applyBorder="1" applyAlignment="1">
      <alignment horizontal="center" vertical="center"/>
    </xf>
    <xf numFmtId="0" fontId="0" fillId="8" borderId="205" xfId="0" applyFill="1" applyBorder="1" applyAlignment="1">
      <alignment horizontal="center" vertical="center"/>
    </xf>
    <xf numFmtId="0" fontId="0" fillId="8" borderId="206" xfId="0" applyFill="1" applyBorder="1" applyAlignment="1">
      <alignment horizontal="center" vertical="center"/>
    </xf>
    <xf numFmtId="0" fontId="36" fillId="8" borderId="184" xfId="0" applyFont="1" applyFill="1" applyBorder="1" applyAlignment="1">
      <alignment horizontal="center" vertical="center"/>
    </xf>
    <xf numFmtId="0" fontId="36" fillId="8" borderId="185" xfId="0" applyFont="1" applyFill="1" applyBorder="1" applyAlignment="1">
      <alignment horizontal="center" vertical="center"/>
    </xf>
    <xf numFmtId="0" fontId="0" fillId="16" borderId="22" xfId="0" applyFill="1" applyBorder="1"/>
    <xf numFmtId="0" fontId="0" fillId="16" borderId="17" xfId="0" applyFill="1" applyBorder="1"/>
    <xf numFmtId="0" fontId="0" fillId="8" borderId="207" xfId="0" applyFill="1" applyBorder="1" applyAlignment="1">
      <alignment horizontal="center" vertical="center"/>
    </xf>
    <xf numFmtId="0" fontId="0" fillId="8" borderId="184" xfId="0" applyFill="1" applyBorder="1" applyAlignment="1">
      <alignment horizontal="center" vertical="center"/>
    </xf>
    <xf numFmtId="0" fontId="0" fillId="8" borderId="185" xfId="0" applyFill="1" applyBorder="1" applyAlignment="1">
      <alignment horizontal="center" vertical="center"/>
    </xf>
    <xf numFmtId="0" fontId="0" fillId="8" borderId="208" xfId="0" applyFill="1" applyBorder="1" applyAlignment="1">
      <alignment horizontal="center" vertical="center"/>
    </xf>
    <xf numFmtId="0" fontId="0" fillId="8" borderId="209" xfId="0" applyFill="1" applyBorder="1" applyAlignment="1">
      <alignment horizontal="center" vertical="center"/>
    </xf>
    <xf numFmtId="0" fontId="0" fillId="8" borderId="210" xfId="0" applyFill="1" applyBorder="1" applyAlignment="1">
      <alignment horizontal="center" vertical="center"/>
    </xf>
    <xf numFmtId="0" fontId="36" fillId="8" borderId="207" xfId="0" applyFont="1" applyFill="1" applyBorder="1" applyAlignment="1">
      <alignment horizontal="center" vertical="center"/>
    </xf>
    <xf numFmtId="0" fontId="36" fillId="8" borderId="208" xfId="0" applyFont="1" applyFill="1" applyBorder="1" applyAlignment="1">
      <alignment horizontal="center" vertical="center"/>
    </xf>
    <xf numFmtId="0" fontId="0" fillId="8" borderId="216" xfId="0" applyFill="1" applyBorder="1" applyAlignment="1">
      <alignment horizontal="center" vertical="center"/>
    </xf>
    <xf numFmtId="0" fontId="0" fillId="8" borderId="217" xfId="0" applyFill="1" applyBorder="1" applyAlignment="1">
      <alignment horizontal="center" vertical="center"/>
    </xf>
    <xf numFmtId="178" fontId="0" fillId="8" borderId="213" xfId="1" applyNumberFormat="1" applyFont="1" applyFill="1" applyBorder="1" applyAlignment="1">
      <alignment horizontal="center" vertical="center"/>
    </xf>
    <xf numFmtId="178" fontId="0" fillId="8" borderId="214" xfId="1" applyNumberFormat="1" applyFont="1" applyFill="1" applyBorder="1" applyAlignment="1">
      <alignment horizontal="center" vertical="center"/>
    </xf>
    <xf numFmtId="178" fontId="0" fillId="8" borderId="215" xfId="1" applyNumberFormat="1" applyFont="1" applyFill="1" applyBorder="1" applyAlignment="1">
      <alignment horizontal="center" vertical="center"/>
    </xf>
    <xf numFmtId="178" fontId="0" fillId="8" borderId="60" xfId="1" applyNumberFormat="1" applyFont="1" applyFill="1" applyBorder="1" applyAlignment="1">
      <alignment horizontal="center" vertical="center"/>
    </xf>
    <xf numFmtId="178" fontId="0" fillId="8" borderId="27" xfId="1" applyNumberFormat="1" applyFont="1" applyFill="1" applyBorder="1" applyAlignment="1">
      <alignment horizontal="center" vertical="center"/>
    </xf>
    <xf numFmtId="178" fontId="0" fillId="8" borderId="218" xfId="1" applyNumberFormat="1" applyFont="1" applyFill="1" applyBorder="1" applyAlignment="1">
      <alignment horizontal="center" vertical="center"/>
    </xf>
    <xf numFmtId="178" fontId="0" fillId="8" borderId="114" xfId="1" applyNumberFormat="1" applyFont="1" applyFill="1" applyBorder="1" applyAlignment="1">
      <alignment horizontal="center" vertical="center"/>
    </xf>
    <xf numFmtId="178" fontId="0" fillId="8" borderId="200" xfId="1" applyNumberFormat="1" applyFont="1" applyFill="1" applyBorder="1" applyAlignment="1">
      <alignment horizontal="center" vertical="center"/>
    </xf>
    <xf numFmtId="178" fontId="0" fillId="8" borderId="202" xfId="1" applyNumberFormat="1" applyFont="1" applyFill="1" applyBorder="1" applyAlignment="1">
      <alignment horizontal="center" vertical="center"/>
    </xf>
    <xf numFmtId="178" fontId="0" fillId="8" borderId="208" xfId="1" applyNumberFormat="1" applyFont="1" applyFill="1" applyBorder="1" applyAlignment="1">
      <alignment horizontal="center" vertical="center"/>
    </xf>
    <xf numFmtId="178" fontId="0" fillId="8" borderId="196" xfId="1" applyNumberFormat="1" applyFont="1" applyFill="1" applyBorder="1" applyAlignment="1">
      <alignment horizontal="center" vertical="center"/>
    </xf>
    <xf numFmtId="178" fontId="0" fillId="8" borderId="198" xfId="1" applyNumberFormat="1" applyFont="1" applyFill="1" applyBorder="1" applyAlignment="1">
      <alignment horizontal="center" vertical="center"/>
    </xf>
    <xf numFmtId="178" fontId="0" fillId="8" borderId="206" xfId="1" applyNumberFormat="1" applyFont="1" applyFill="1" applyBorder="1" applyAlignment="1">
      <alignment horizontal="center" vertical="center"/>
    </xf>
    <xf numFmtId="0" fontId="42" fillId="15" borderId="22" xfId="5" applyFont="1" applyFill="1" applyBorder="1" applyAlignment="1">
      <alignment horizontal="center" vertical="center"/>
    </xf>
    <xf numFmtId="0" fontId="42" fillId="15" borderId="17" xfId="5" applyFont="1" applyFill="1" applyBorder="1" applyAlignment="1">
      <alignment horizontal="center" vertical="center"/>
    </xf>
    <xf numFmtId="0" fontId="42" fillId="15" borderId="190" xfId="5" applyFont="1" applyFill="1" applyBorder="1" applyAlignment="1">
      <alignment horizontal="center" vertical="center"/>
    </xf>
    <xf numFmtId="0" fontId="43" fillId="8" borderId="34" xfId="5" applyFont="1" applyFill="1" applyBorder="1" applyAlignment="1">
      <alignment horizontal="center" vertical="center"/>
    </xf>
    <xf numFmtId="0" fontId="17" fillId="8" borderId="91" xfId="5" applyFont="1" applyFill="1" applyBorder="1" applyAlignment="1">
      <alignment vertical="center"/>
    </xf>
    <xf numFmtId="169" fontId="17" fillId="8" borderId="94" xfId="5" applyNumberFormat="1" applyFont="1" applyFill="1" applyBorder="1" applyAlignment="1">
      <alignment horizontal="center" vertical="center"/>
    </xf>
    <xf numFmtId="0" fontId="42" fillId="8" borderId="67" xfId="5" applyFont="1" applyFill="1" applyBorder="1" applyAlignment="1">
      <alignment horizontal="center" vertical="center"/>
    </xf>
    <xf numFmtId="169" fontId="17" fillId="8" borderId="100" xfId="5" applyNumberFormat="1" applyFont="1" applyFill="1" applyBorder="1" applyAlignment="1">
      <alignment horizontal="center" vertical="center"/>
    </xf>
    <xf numFmtId="0" fontId="42" fillId="8" borderId="16" xfId="5" applyFont="1" applyFill="1" applyBorder="1" applyAlignment="1">
      <alignment horizontal="center" vertical="center"/>
    </xf>
    <xf numFmtId="0" fontId="17" fillId="8" borderId="70" xfId="5" applyFont="1" applyFill="1" applyBorder="1" applyAlignment="1">
      <alignment vertical="center"/>
    </xf>
    <xf numFmtId="169" fontId="17" fillId="8" borderId="106" xfId="5" applyNumberFormat="1" applyFont="1" applyFill="1" applyBorder="1" applyAlignment="1">
      <alignment horizontal="center" vertical="center"/>
    </xf>
    <xf numFmtId="0" fontId="43" fillId="8" borderId="67" xfId="5" applyFont="1" applyFill="1" applyBorder="1" applyAlignment="1">
      <alignment horizontal="center" vertical="center"/>
    </xf>
    <xf numFmtId="0" fontId="43" fillId="8" borderId="22" xfId="5" applyFont="1" applyFill="1" applyBorder="1" applyAlignment="1">
      <alignment horizontal="center" vertical="center"/>
    </xf>
    <xf numFmtId="0" fontId="17" fillId="8" borderId="17" xfId="5" applyFont="1" applyFill="1" applyBorder="1" applyAlignment="1">
      <alignment vertical="center"/>
    </xf>
    <xf numFmtId="169" fontId="17" fillId="8" borderId="19" xfId="5" applyNumberFormat="1" applyFont="1" applyFill="1" applyBorder="1" applyAlignment="1">
      <alignment horizontal="center" vertical="center"/>
    </xf>
    <xf numFmtId="0" fontId="42" fillId="8" borderId="115" xfId="5" applyFont="1" applyFill="1" applyBorder="1" applyAlignment="1">
      <alignment horizontal="center" vertical="center"/>
    </xf>
    <xf numFmtId="0" fontId="17" fillId="8" borderId="28" xfId="5" applyFont="1" applyFill="1" applyBorder="1" applyAlignment="1">
      <alignment horizontal="right" vertical="center"/>
    </xf>
    <xf numFmtId="169" fontId="17" fillId="8" borderId="51" xfId="5" applyNumberFormat="1" applyFont="1" applyFill="1" applyBorder="1" applyAlignment="1">
      <alignment horizontal="center" vertical="center"/>
    </xf>
    <xf numFmtId="169" fontId="17" fillId="8" borderId="15" xfId="5" applyNumberFormat="1" applyFont="1" applyFill="1" applyBorder="1" applyAlignment="1">
      <alignment horizontal="center" vertical="center"/>
    </xf>
    <xf numFmtId="0" fontId="44" fillId="8" borderId="67" xfId="5" applyFont="1" applyFill="1" applyBorder="1" applyAlignment="1">
      <alignment horizontal="center" vertical="center"/>
    </xf>
    <xf numFmtId="0" fontId="17" fillId="8" borderId="0" xfId="5" applyFont="1" applyFill="1" applyAlignment="1">
      <alignment vertical="center"/>
    </xf>
    <xf numFmtId="169" fontId="17" fillId="8" borderId="23" xfId="5" applyNumberFormat="1" applyFont="1" applyFill="1" applyBorder="1" applyAlignment="1">
      <alignment horizontal="center" vertical="center"/>
    </xf>
    <xf numFmtId="0" fontId="17" fillId="8" borderId="67" xfId="5" applyFont="1" applyFill="1" applyBorder="1" applyAlignment="1">
      <alignment horizontal="center" vertical="center"/>
    </xf>
    <xf numFmtId="0" fontId="44" fillId="8" borderId="22" xfId="5" applyFont="1" applyFill="1" applyBorder="1" applyAlignment="1">
      <alignment horizontal="center" vertical="center"/>
    </xf>
    <xf numFmtId="0" fontId="44" fillId="8" borderId="16" xfId="5" applyFont="1" applyFill="1" applyBorder="1" applyAlignment="1">
      <alignment horizontal="center" vertical="center"/>
    </xf>
    <xf numFmtId="0" fontId="17" fillId="8" borderId="115" xfId="5" applyFont="1" applyFill="1" applyBorder="1" applyAlignment="1">
      <alignment horizontal="center" vertical="center"/>
    </xf>
    <xf numFmtId="0" fontId="17" fillId="8" borderId="0" xfId="5" applyFont="1" applyFill="1" applyAlignment="1">
      <alignment horizontal="right" vertical="center"/>
    </xf>
    <xf numFmtId="169" fontId="17" fillId="8" borderId="0" xfId="5" applyNumberFormat="1" applyFont="1" applyFill="1" applyAlignment="1">
      <alignment horizontal="center" vertical="center"/>
    </xf>
    <xf numFmtId="0" fontId="44" fillId="8" borderId="34" xfId="5" applyFont="1" applyFill="1" applyBorder="1" applyAlignment="1">
      <alignment horizontal="center" vertical="center"/>
    </xf>
    <xf numFmtId="169" fontId="17" fillId="8" borderId="97" xfId="5" applyNumberFormat="1" applyFont="1" applyFill="1" applyBorder="1" applyAlignment="1">
      <alignment horizontal="center" vertical="center"/>
    </xf>
    <xf numFmtId="169" fontId="17" fillId="8" borderId="139" xfId="5" applyNumberFormat="1" applyFont="1" applyFill="1" applyBorder="1" applyAlignment="1">
      <alignment horizontal="center" vertical="center"/>
    </xf>
    <xf numFmtId="169" fontId="17" fillId="8" borderId="71" xfId="5" applyNumberFormat="1" applyFont="1" applyFill="1" applyBorder="1" applyAlignment="1">
      <alignment horizontal="center" vertical="center"/>
    </xf>
    <xf numFmtId="0" fontId="17" fillId="8" borderId="16" xfId="5" applyFont="1" applyFill="1" applyBorder="1" applyAlignment="1">
      <alignment horizontal="center" vertical="center"/>
    </xf>
    <xf numFmtId="0" fontId="15" fillId="8" borderId="70" xfId="5" applyFont="1" applyFill="1" applyBorder="1" applyAlignment="1">
      <alignment vertical="center"/>
    </xf>
    <xf numFmtId="169" fontId="17" fillId="8" borderId="110" xfId="5" applyNumberFormat="1" applyFont="1" applyFill="1" applyBorder="1" applyAlignment="1">
      <alignment horizontal="center" vertical="center"/>
    </xf>
    <xf numFmtId="169" fontId="17" fillId="8" borderId="113" xfId="5" applyNumberFormat="1" applyFont="1" applyFill="1" applyBorder="1" applyAlignment="1">
      <alignment horizontal="center" vertical="center"/>
    </xf>
    <xf numFmtId="169" fontId="17" fillId="8" borderId="64" xfId="5" applyNumberFormat="1" applyFont="1" applyFill="1" applyBorder="1" applyAlignment="1">
      <alignment horizontal="center" vertical="center"/>
    </xf>
    <xf numFmtId="0" fontId="36" fillId="8" borderId="195" xfId="0" applyFont="1" applyFill="1" applyBorder="1" applyAlignment="1">
      <alignment horizontal="center" vertical="center"/>
    </xf>
    <xf numFmtId="0" fontId="36" fillId="8" borderId="196" xfId="0" applyFont="1" applyFill="1" applyBorder="1" applyAlignment="1">
      <alignment horizontal="center" vertical="center"/>
    </xf>
    <xf numFmtId="0" fontId="41" fillId="8" borderId="0" xfId="5" applyFont="1" applyFill="1" applyAlignment="1">
      <alignment horizontal="center" vertical="center" textRotation="90" wrapText="1"/>
    </xf>
    <xf numFmtId="0" fontId="45" fillId="8" borderId="53" xfId="5" applyFont="1" applyFill="1" applyBorder="1" applyAlignment="1">
      <alignment vertical="center"/>
    </xf>
    <xf numFmtId="0" fontId="45" fillId="8" borderId="211" xfId="5" applyFont="1" applyFill="1" applyBorder="1" applyAlignment="1">
      <alignment vertical="center"/>
    </xf>
    <xf numFmtId="0" fontId="45" fillId="8" borderId="212" xfId="5" applyFont="1" applyFill="1" applyBorder="1" applyAlignment="1">
      <alignment horizontal="right" vertical="center"/>
    </xf>
    <xf numFmtId="179" fontId="45" fillId="8" borderId="219" xfId="1" applyNumberFormat="1" applyFont="1" applyFill="1" applyBorder="1" applyAlignment="1">
      <alignment horizontal="center" vertical="center"/>
    </xf>
    <xf numFmtId="0" fontId="46" fillId="0" borderId="0" xfId="0" applyFont="1"/>
    <xf numFmtId="0" fontId="13" fillId="8" borderId="1" xfId="5" applyFill="1" applyBorder="1" applyAlignment="1">
      <alignment vertical="center"/>
    </xf>
    <xf numFmtId="0" fontId="13" fillId="8" borderId="3" xfId="5" applyFill="1" applyBorder="1" applyAlignment="1">
      <alignment vertical="center"/>
    </xf>
    <xf numFmtId="0" fontId="0" fillId="8" borderId="3" xfId="0" applyFill="1" applyBorder="1"/>
    <xf numFmtId="0" fontId="0" fillId="0" borderId="3" xfId="0" applyBorder="1"/>
    <xf numFmtId="0" fontId="0" fillId="0" borderId="5" xfId="0" applyBorder="1"/>
    <xf numFmtId="0" fontId="13" fillId="8" borderId="20" xfId="5" applyFill="1" applyBorder="1" applyAlignment="1">
      <alignment vertical="center"/>
    </xf>
    <xf numFmtId="0" fontId="39" fillId="8" borderId="0" xfId="5" applyFont="1" applyFill="1" applyAlignment="1">
      <alignment horizontal="left" vertical="center"/>
    </xf>
    <xf numFmtId="0" fontId="40" fillId="8" borderId="0" xfId="5" applyFont="1" applyFill="1" applyAlignment="1">
      <alignment horizontal="center" vertical="center"/>
    </xf>
    <xf numFmtId="0" fontId="40" fillId="8" borderId="0" xfId="5" applyFont="1" applyFill="1" applyAlignment="1">
      <alignment vertical="center"/>
    </xf>
    <xf numFmtId="0" fontId="0" fillId="0" borderId="35" xfId="0" applyBorder="1"/>
    <xf numFmtId="0" fontId="41" fillId="8" borderId="0" xfId="5" applyFont="1" applyFill="1" applyAlignment="1">
      <alignment horizontal="left" vertical="center" indent="2"/>
    </xf>
    <xf numFmtId="0" fontId="41" fillId="8" borderId="0" xfId="5" applyFont="1" applyFill="1" applyAlignment="1">
      <alignment vertical="center"/>
    </xf>
    <xf numFmtId="0" fontId="25" fillId="8" borderId="20" xfId="5" applyFont="1" applyFill="1" applyBorder="1" applyAlignment="1">
      <alignment vertical="center"/>
    </xf>
    <xf numFmtId="0" fontId="25" fillId="8" borderId="20" xfId="5" applyFont="1" applyFill="1" applyBorder="1" applyAlignment="1">
      <alignment horizontal="center" vertical="center"/>
    </xf>
    <xf numFmtId="0" fontId="13" fillId="8" borderId="20" xfId="5" applyFill="1" applyBorder="1" applyAlignment="1">
      <alignment horizontal="center" vertical="center"/>
    </xf>
    <xf numFmtId="0" fontId="17" fillId="8" borderId="0" xfId="5" quotePrefix="1" applyFont="1" applyFill="1" applyAlignment="1">
      <alignment vertical="center"/>
    </xf>
    <xf numFmtId="0" fontId="36" fillId="0" borderId="0" xfId="0" applyFont="1" applyAlignment="1">
      <alignment vertical="center"/>
    </xf>
    <xf numFmtId="0" fontId="42" fillId="8" borderId="0" xfId="5" applyFont="1" applyFill="1" applyAlignment="1">
      <alignment vertical="center"/>
    </xf>
    <xf numFmtId="0" fontId="21" fillId="8" borderId="20" xfId="5" applyFont="1" applyFill="1" applyBorder="1" applyAlignment="1">
      <alignment vertical="center"/>
    </xf>
    <xf numFmtId="0" fontId="45" fillId="8" borderId="20" xfId="5" applyFont="1" applyFill="1" applyBorder="1" applyAlignment="1">
      <alignment vertical="center"/>
    </xf>
    <xf numFmtId="0" fontId="45" fillId="8" borderId="0" xfId="5" applyFont="1" applyFill="1" applyAlignment="1">
      <alignment vertical="center"/>
    </xf>
    <xf numFmtId="0" fontId="46" fillId="8" borderId="0" xfId="0" applyFont="1" applyFill="1"/>
    <xf numFmtId="0" fontId="46" fillId="0" borderId="35" xfId="0" applyFont="1" applyBorder="1"/>
    <xf numFmtId="0" fontId="13" fillId="8" borderId="26" xfId="5" applyFill="1" applyBorder="1" applyAlignment="1">
      <alignment vertical="center"/>
    </xf>
    <xf numFmtId="0" fontId="13" fillId="8" borderId="28" xfId="5" applyFill="1" applyBorder="1" applyAlignment="1">
      <alignment vertical="center"/>
    </xf>
    <xf numFmtId="0" fontId="0" fillId="8" borderId="28" xfId="0" applyFill="1" applyBorder="1"/>
    <xf numFmtId="0" fontId="0" fillId="0" borderId="28" xfId="0" applyBorder="1"/>
    <xf numFmtId="0" fontId="0" fillId="0" borderId="129" xfId="0" applyBorder="1"/>
    <xf numFmtId="164" fontId="24" fillId="14" borderId="26" xfId="5" applyNumberFormat="1" applyFont="1" applyFill="1" applyBorder="1" applyAlignment="1">
      <alignment vertical="center"/>
    </xf>
    <xf numFmtId="164" fontId="24" fillId="14" borderId="129" xfId="5" applyNumberFormat="1" applyFont="1" applyFill="1" applyBorder="1" applyAlignment="1">
      <alignment vertical="center"/>
    </xf>
    <xf numFmtId="164" fontId="24" fillId="8" borderId="220" xfId="5" applyNumberFormat="1" applyFont="1" applyFill="1" applyBorder="1" applyAlignment="1">
      <alignment vertical="center"/>
    </xf>
    <xf numFmtId="164" fontId="24" fillId="8" borderId="221" xfId="5" applyNumberFormat="1" applyFont="1" applyFill="1" applyBorder="1" applyAlignment="1">
      <alignment vertical="center"/>
    </xf>
    <xf numFmtId="0" fontId="20" fillId="8" borderId="225" xfId="5" applyFont="1" applyFill="1" applyBorder="1" applyAlignment="1">
      <alignment horizontal="center" vertical="center"/>
    </xf>
    <xf numFmtId="0" fontId="20" fillId="13" borderId="225" xfId="5" applyFont="1" applyFill="1" applyBorder="1" applyAlignment="1">
      <alignment horizontal="center" vertical="center"/>
    </xf>
    <xf numFmtId="0" fontId="20" fillId="8" borderId="123" xfId="5" applyFont="1" applyFill="1" applyBorder="1" applyAlignment="1">
      <alignment horizontal="center" vertical="center"/>
    </xf>
    <xf numFmtId="0" fontId="20" fillId="8" borderId="226" xfId="5" applyFont="1" applyFill="1" applyBorder="1" applyAlignment="1">
      <alignment horizontal="center" vertical="center"/>
    </xf>
    <xf numFmtId="17" fontId="7" fillId="0" borderId="18" xfId="2" quotePrefix="1" applyNumberFormat="1" applyFont="1" applyBorder="1" applyAlignment="1">
      <alignment horizontal="center" vertical="center"/>
    </xf>
    <xf numFmtId="1" fontId="7" fillId="0" borderId="227" xfId="2" quotePrefix="1" applyNumberFormat="1" applyFont="1" applyBorder="1" applyAlignment="1">
      <alignment horizontal="center" vertical="center"/>
    </xf>
    <xf numFmtId="1" fontId="7" fillId="15" borderId="69" xfId="2" quotePrefix="1" applyNumberFormat="1" applyFont="1" applyFill="1" applyBorder="1" applyAlignment="1">
      <alignment horizontal="center" vertical="center"/>
    </xf>
    <xf numFmtId="17" fontId="7" fillId="15" borderId="0" xfId="2" quotePrefix="1" applyNumberFormat="1" applyFont="1" applyFill="1" applyAlignment="1">
      <alignment horizontal="center" vertical="center"/>
    </xf>
    <xf numFmtId="1" fontId="7" fillId="15" borderId="48" xfId="2" quotePrefix="1" applyNumberFormat="1" applyFont="1" applyFill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11" fillId="8" borderId="15" xfId="5" applyNumberFormat="1" applyFont="1" applyFill="1" applyBorder="1" applyAlignment="1">
      <alignment horizontal="center" vertical="top" wrapText="1"/>
    </xf>
    <xf numFmtId="164" fontId="11" fillId="8" borderId="23" xfId="5" applyNumberFormat="1" applyFont="1" applyFill="1" applyBorder="1" applyAlignment="1">
      <alignment horizontal="center" vertical="top" wrapText="1"/>
    </xf>
    <xf numFmtId="164" fontId="11" fillId="8" borderId="23" xfId="5" quotePrefix="1" applyNumberFormat="1" applyFont="1" applyFill="1" applyBorder="1" applyAlignment="1">
      <alignment horizontal="center" vertical="top" wrapText="1"/>
    </xf>
    <xf numFmtId="164" fontId="24" fillId="14" borderId="228" xfId="5" applyNumberFormat="1" applyFont="1" applyFill="1" applyBorder="1" applyAlignment="1">
      <alignment vertical="center"/>
    </xf>
    <xf numFmtId="164" fontId="24" fillId="14" borderId="229" xfId="5" applyNumberFormat="1" applyFont="1" applyFill="1" applyBorder="1" applyAlignment="1">
      <alignment vertical="center"/>
    </xf>
    <xf numFmtId="38" fontId="7" fillId="17" borderId="45" xfId="3" applyFont="1" applyFill="1" applyBorder="1" applyAlignment="1">
      <alignment horizontal="center" vertical="center"/>
    </xf>
    <xf numFmtId="38" fontId="7" fillId="8" borderId="19" xfId="3" applyFont="1" applyFill="1" applyBorder="1" applyAlignment="1">
      <alignment horizontal="center" vertical="center"/>
    </xf>
    <xf numFmtId="38" fontId="7" fillId="8" borderId="24" xfId="3" applyFont="1" applyFill="1" applyBorder="1" applyAlignment="1">
      <alignment horizontal="center" vertical="center"/>
    </xf>
    <xf numFmtId="38" fontId="4" fillId="8" borderId="148" xfId="3" applyFont="1" applyFill="1" applyBorder="1" applyAlignment="1">
      <alignment horizontal="center" vertical="center"/>
    </xf>
    <xf numFmtId="38" fontId="7" fillId="17" borderId="49" xfId="3" quotePrefix="1" applyFont="1" applyFill="1" applyBorder="1" applyAlignment="1">
      <alignment horizontal="center" vertical="center"/>
    </xf>
    <xf numFmtId="38" fontId="7" fillId="8" borderId="30" xfId="3" applyFont="1" applyFill="1" applyBorder="1" applyAlignment="1">
      <alignment horizontal="center" vertical="center"/>
    </xf>
    <xf numFmtId="38" fontId="7" fillId="8" borderId="32" xfId="3" quotePrefix="1" applyFont="1" applyFill="1" applyBorder="1" applyAlignment="1">
      <alignment horizontal="center" vertical="center"/>
    </xf>
    <xf numFmtId="38" fontId="4" fillId="8" borderId="47" xfId="3" applyFont="1" applyFill="1" applyBorder="1" applyAlignment="1">
      <alignment horizontal="center" vertical="center"/>
    </xf>
    <xf numFmtId="38" fontId="7" fillId="8" borderId="45" xfId="3" applyFont="1" applyFill="1" applyBorder="1" applyAlignment="1">
      <alignment horizontal="center" vertical="center"/>
    </xf>
    <xf numFmtId="38" fontId="7" fillId="8" borderId="15" xfId="3" applyFont="1" applyFill="1" applyBorder="1" applyAlignment="1">
      <alignment horizontal="center" vertical="center"/>
    </xf>
    <xf numFmtId="38" fontId="7" fillId="8" borderId="18" xfId="3" applyFont="1" applyFill="1" applyBorder="1" applyAlignment="1">
      <alignment horizontal="center" vertical="center"/>
    </xf>
    <xf numFmtId="38" fontId="4" fillId="8" borderId="45" xfId="3" applyFont="1" applyFill="1" applyBorder="1" applyAlignment="1">
      <alignment horizontal="center" vertical="center"/>
    </xf>
    <xf numFmtId="38" fontId="7" fillId="8" borderId="47" xfId="3" applyFont="1" applyFill="1" applyBorder="1" applyAlignment="1">
      <alignment horizontal="center" vertical="center"/>
    </xf>
    <xf numFmtId="38" fontId="7" fillId="8" borderId="30" xfId="3" quotePrefix="1" applyFont="1" applyFill="1" applyBorder="1" applyAlignment="1">
      <alignment horizontal="center" vertical="center"/>
    </xf>
    <xf numFmtId="38" fontId="7" fillId="8" borderId="50" xfId="3" applyFont="1" applyFill="1" applyBorder="1" applyAlignment="1">
      <alignment horizontal="center" vertical="center"/>
    </xf>
    <xf numFmtId="38" fontId="7" fillId="17" borderId="15" xfId="3" applyFont="1" applyFill="1" applyBorder="1" applyAlignment="1">
      <alignment horizontal="center" vertical="center"/>
    </xf>
    <xf numFmtId="38" fontId="7" fillId="17" borderId="18" xfId="3" applyFont="1" applyFill="1" applyBorder="1" applyAlignment="1">
      <alignment horizontal="center" vertical="center"/>
    </xf>
    <xf numFmtId="38" fontId="7" fillId="8" borderId="49" xfId="3" quotePrefix="1" applyFont="1" applyFill="1" applyBorder="1" applyAlignment="1">
      <alignment horizontal="center" vertical="center"/>
    </xf>
    <xf numFmtId="38" fontId="7" fillId="17" borderId="30" xfId="3" applyFont="1" applyFill="1" applyBorder="1" applyAlignment="1">
      <alignment horizontal="center" vertical="center"/>
    </xf>
    <xf numFmtId="38" fontId="7" fillId="17" borderId="32" xfId="3" quotePrefix="1" applyFont="1" applyFill="1" applyBorder="1" applyAlignment="1">
      <alignment horizontal="center" vertical="center"/>
    </xf>
    <xf numFmtId="38" fontId="7" fillId="17" borderId="30" xfId="3" quotePrefix="1" applyFont="1" applyFill="1" applyBorder="1" applyAlignment="1">
      <alignment horizontal="center" vertical="center"/>
    </xf>
    <xf numFmtId="38" fontId="4" fillId="8" borderId="149" xfId="3" applyFont="1" applyFill="1" applyBorder="1" applyAlignment="1">
      <alignment horizontal="center" vertical="center"/>
    </xf>
    <xf numFmtId="38" fontId="4" fillId="8" borderId="23" xfId="3" applyFont="1" applyFill="1" applyBorder="1" applyAlignment="1">
      <alignment horizontal="center" vertical="center"/>
    </xf>
    <xf numFmtId="0" fontId="20" fillId="8" borderId="122" xfId="5" applyFont="1" applyFill="1" applyBorder="1" applyAlignment="1">
      <alignment horizontal="center" vertical="top"/>
    </xf>
    <xf numFmtId="0" fontId="20" fillId="8" borderId="79" xfId="5" applyFont="1" applyFill="1" applyBorder="1" applyAlignment="1">
      <alignment horizontal="center" vertical="top"/>
    </xf>
    <xf numFmtId="0" fontId="20" fillId="8" borderId="88" xfId="5" applyFont="1" applyFill="1" applyBorder="1" applyAlignment="1">
      <alignment horizontal="center" vertical="top"/>
    </xf>
    <xf numFmtId="0" fontId="20" fillId="8" borderId="230" xfId="5" applyFont="1" applyFill="1" applyBorder="1" applyAlignment="1">
      <alignment horizontal="center" vertical="top"/>
    </xf>
    <xf numFmtId="0" fontId="20" fillId="8" borderId="231" xfId="5" applyFont="1" applyFill="1" applyBorder="1" applyAlignment="1">
      <alignment horizontal="center" vertical="center"/>
    </xf>
    <xf numFmtId="0" fontId="20" fillId="8" borderId="232" xfId="5" applyFont="1" applyFill="1" applyBorder="1" applyAlignment="1">
      <alignment horizontal="center" vertical="center"/>
    </xf>
    <xf numFmtId="164" fontId="24" fillId="8" borderId="84" xfId="5" applyNumberFormat="1" applyFont="1" applyFill="1" applyBorder="1" applyAlignment="1">
      <alignment vertical="center"/>
    </xf>
    <xf numFmtId="164" fontId="24" fillId="8" borderId="233" xfId="5" applyNumberFormat="1" applyFont="1" applyFill="1" applyBorder="1" applyAlignment="1">
      <alignment vertical="center"/>
    </xf>
    <xf numFmtId="0" fontId="25" fillId="8" borderId="179" xfId="5" applyFont="1" applyFill="1" applyBorder="1" applyAlignment="1">
      <alignment horizontal="center" vertical="center"/>
    </xf>
    <xf numFmtId="0" fontId="25" fillId="8" borderId="17" xfId="5" applyFont="1" applyFill="1" applyBorder="1" applyAlignment="1">
      <alignment horizontal="center" vertical="center"/>
    </xf>
    <xf numFmtId="0" fontId="25" fillId="8" borderId="238" xfId="5" quotePrefix="1" applyFont="1" applyFill="1" applyBorder="1" applyAlignment="1">
      <alignment horizontal="center" vertical="center"/>
    </xf>
    <xf numFmtId="0" fontId="25" fillId="8" borderId="176" xfId="5" applyFont="1" applyFill="1" applyBorder="1" applyAlignment="1">
      <alignment horizontal="center" vertical="center"/>
    </xf>
    <xf numFmtId="0" fontId="25" fillId="8" borderId="17" xfId="5" applyFont="1" applyFill="1" applyBorder="1" applyAlignment="1">
      <alignment horizontal="right" vertical="center"/>
    </xf>
    <xf numFmtId="0" fontId="22" fillId="8" borderId="242" xfId="5" applyFont="1" applyFill="1" applyBorder="1" applyAlignment="1">
      <alignment horizontal="center" vertical="center"/>
    </xf>
    <xf numFmtId="0" fontId="22" fillId="8" borderId="243" xfId="5" applyFont="1" applyFill="1" applyBorder="1" applyAlignment="1">
      <alignment horizontal="center" vertical="center"/>
    </xf>
    <xf numFmtId="171" fontId="25" fillId="8" borderId="208" xfId="5" applyNumberFormat="1" applyFont="1" applyFill="1" applyBorder="1" applyAlignment="1">
      <alignment vertical="center"/>
    </xf>
    <xf numFmtId="0" fontId="25" fillId="8" borderId="244" xfId="5" applyFont="1" applyFill="1" applyBorder="1" applyAlignment="1">
      <alignment horizontal="center" vertical="center"/>
    </xf>
    <xf numFmtId="0" fontId="25" fillId="8" borderId="29" xfId="5" applyFont="1" applyFill="1" applyBorder="1" applyAlignment="1">
      <alignment horizontal="center" vertical="center"/>
    </xf>
    <xf numFmtId="0" fontId="25" fillId="8" borderId="29" xfId="5" applyFont="1" applyFill="1" applyBorder="1" applyAlignment="1">
      <alignment horizontal="right" vertical="center"/>
    </xf>
    <xf numFmtId="171" fontId="25" fillId="8" borderId="245" xfId="5" applyNumberFormat="1" applyFont="1" applyFill="1" applyBorder="1" applyAlignment="1">
      <alignment vertical="center"/>
    </xf>
    <xf numFmtId="0" fontId="25" fillId="8" borderId="246" xfId="5" applyFont="1" applyFill="1" applyBorder="1" applyAlignment="1">
      <alignment horizontal="center" vertical="center"/>
    </xf>
    <xf numFmtId="171" fontId="25" fillId="8" borderId="190" xfId="5" applyNumberFormat="1" applyFont="1" applyFill="1" applyBorder="1" applyAlignment="1">
      <alignment vertical="center"/>
    </xf>
    <xf numFmtId="171" fontId="25" fillId="8" borderId="200" xfId="5" applyNumberFormat="1" applyFont="1" applyFill="1" applyBorder="1" applyAlignment="1">
      <alignment vertical="center"/>
    </xf>
    <xf numFmtId="0" fontId="25" fillId="8" borderId="178" xfId="5" applyFont="1" applyFill="1" applyBorder="1" applyAlignment="1">
      <alignment horizontal="center" vertical="center"/>
    </xf>
    <xf numFmtId="171" fontId="25" fillId="8" borderId="196" xfId="5" applyNumberFormat="1" applyFont="1" applyFill="1" applyBorder="1" applyAlignment="1">
      <alignment vertical="center"/>
    </xf>
    <xf numFmtId="0" fontId="25" fillId="8" borderId="247" xfId="5" applyFont="1" applyFill="1" applyBorder="1" applyAlignment="1">
      <alignment horizontal="center" vertical="center"/>
    </xf>
    <xf numFmtId="0" fontId="25" fillId="8" borderId="248" xfId="5" quotePrefix="1" applyFont="1" applyFill="1" applyBorder="1" applyAlignment="1">
      <alignment horizontal="center" vertical="center"/>
    </xf>
    <xf numFmtId="0" fontId="25" fillId="8" borderId="182" xfId="5" applyFont="1" applyFill="1" applyBorder="1" applyAlignment="1">
      <alignment horizontal="center" vertical="center"/>
    </xf>
    <xf numFmtId="0" fontId="25" fillId="8" borderId="249" xfId="5" applyFont="1" applyFill="1" applyBorder="1" applyAlignment="1">
      <alignment horizontal="center" vertical="center"/>
    </xf>
    <xf numFmtId="0" fontId="25" fillId="8" borderId="186" xfId="5" applyFont="1" applyFill="1" applyBorder="1" applyAlignment="1">
      <alignment horizontal="center" vertical="center"/>
    </xf>
    <xf numFmtId="171" fontId="25" fillId="8" borderId="237" xfId="5" applyNumberFormat="1" applyFont="1" applyFill="1" applyBorder="1" applyAlignment="1">
      <alignment horizontal="center" vertical="center"/>
    </xf>
    <xf numFmtId="171" fontId="25" fillId="8" borderId="251" xfId="5" applyNumberFormat="1" applyFont="1" applyFill="1" applyBorder="1" applyAlignment="1">
      <alignment horizontal="center" vertical="center"/>
    </xf>
    <xf numFmtId="171" fontId="25" fillId="8" borderId="252" xfId="5" applyNumberFormat="1" applyFont="1" applyFill="1" applyBorder="1" applyAlignment="1">
      <alignment horizontal="center" vertical="center"/>
    </xf>
    <xf numFmtId="0" fontId="25" fillId="8" borderId="141" xfId="5" quotePrefix="1" applyFont="1" applyFill="1" applyBorder="1" applyAlignment="1">
      <alignment horizontal="center" vertical="center"/>
    </xf>
    <xf numFmtId="0" fontId="25" fillId="8" borderId="136" xfId="5" applyFont="1" applyFill="1" applyBorder="1" applyAlignment="1">
      <alignment horizontal="center" vertical="center"/>
    </xf>
    <xf numFmtId="0" fontId="25" fillId="8" borderId="239" xfId="5" applyFont="1" applyFill="1" applyBorder="1" applyAlignment="1">
      <alignment horizontal="center" vertical="center"/>
    </xf>
    <xf numFmtId="0" fontId="25" fillId="8" borderId="240" xfId="5" applyFont="1" applyFill="1" applyBorder="1" applyAlignment="1">
      <alignment horizontal="center" vertical="center"/>
    </xf>
    <xf numFmtId="0" fontId="25" fillId="8" borderId="241" xfId="5" applyFont="1" applyFill="1" applyBorder="1" applyAlignment="1">
      <alignment horizontal="center" vertical="center"/>
    </xf>
    <xf numFmtId="0" fontId="25" fillId="8" borderId="141" xfId="5" applyFont="1" applyFill="1" applyBorder="1" applyAlignment="1">
      <alignment horizontal="center" vertical="center"/>
    </xf>
    <xf numFmtId="0" fontId="25" fillId="8" borderId="224" xfId="5" quotePrefix="1" applyFont="1" applyFill="1" applyBorder="1" applyAlignment="1">
      <alignment horizontal="center" vertical="center"/>
    </xf>
    <xf numFmtId="0" fontId="25" fillId="8" borderId="144" xfId="5" quotePrefix="1" applyFont="1" applyFill="1" applyBorder="1" applyAlignment="1">
      <alignment horizontal="center" vertical="center"/>
    </xf>
    <xf numFmtId="0" fontId="25" fillId="8" borderId="253" xfId="5" quotePrefix="1" applyFont="1" applyFill="1" applyBorder="1" applyAlignment="1">
      <alignment horizontal="center" vertical="center"/>
    </xf>
    <xf numFmtId="0" fontId="25" fillId="8" borderId="254" xfId="5" applyFont="1" applyFill="1" applyBorder="1" applyAlignment="1">
      <alignment horizontal="center" vertical="center"/>
    </xf>
    <xf numFmtId="0" fontId="25" fillId="8" borderId="144" xfId="5" applyFont="1" applyFill="1" applyBorder="1" applyAlignment="1">
      <alignment horizontal="center" vertical="center"/>
    </xf>
    <xf numFmtId="171" fontId="25" fillId="8" borderId="236" xfId="5" applyNumberFormat="1" applyFont="1" applyFill="1" applyBorder="1" applyAlignment="1">
      <alignment horizontal="center" vertical="center"/>
    </xf>
    <xf numFmtId="171" fontId="25" fillId="8" borderId="210" xfId="5" applyNumberFormat="1" applyFont="1" applyFill="1" applyBorder="1" applyAlignment="1">
      <alignment vertical="center"/>
    </xf>
    <xf numFmtId="0" fontId="13" fillId="8" borderId="211" xfId="5" applyFill="1" applyBorder="1" applyAlignment="1">
      <alignment horizontal="center" vertical="center"/>
    </xf>
    <xf numFmtId="0" fontId="22" fillId="8" borderId="258" xfId="5" applyFont="1" applyFill="1" applyBorder="1" applyAlignment="1">
      <alignment horizontal="center" vertical="center"/>
    </xf>
    <xf numFmtId="0" fontId="22" fillId="8" borderId="262" xfId="5" applyFont="1" applyFill="1" applyBorder="1" applyAlignment="1">
      <alignment horizontal="center" vertical="center"/>
    </xf>
    <xf numFmtId="0" fontId="22" fillId="8" borderId="53" xfId="5" applyFont="1" applyFill="1" applyBorder="1" applyAlignment="1">
      <alignment vertical="center"/>
    </xf>
    <xf numFmtId="0" fontId="22" fillId="8" borderId="211" xfId="5" applyFont="1" applyFill="1" applyBorder="1" applyAlignment="1">
      <alignment vertical="center"/>
    </xf>
    <xf numFmtId="0" fontId="22" fillId="8" borderId="211" xfId="5" applyFont="1" applyFill="1" applyBorder="1" applyAlignment="1">
      <alignment horizontal="right" vertical="center"/>
    </xf>
    <xf numFmtId="171" fontId="22" fillId="8" borderId="219" xfId="5" applyNumberFormat="1" applyFont="1" applyFill="1" applyBorder="1" applyAlignment="1">
      <alignment vertical="center"/>
    </xf>
    <xf numFmtId="0" fontId="25" fillId="8" borderId="247" xfId="5" quotePrefix="1" applyFont="1" applyFill="1" applyBorder="1" applyAlignment="1">
      <alignment horizontal="center" vertical="center"/>
    </xf>
    <xf numFmtId="171" fontId="21" fillId="8" borderId="0" xfId="5" applyNumberFormat="1" applyFont="1" applyFill="1" applyAlignment="1">
      <alignment vertical="center"/>
    </xf>
    <xf numFmtId="171" fontId="24" fillId="8" borderId="0" xfId="5" applyNumberFormat="1" applyFont="1" applyFill="1" applyAlignment="1">
      <alignment vertical="center"/>
    </xf>
    <xf numFmtId="0" fontId="22" fillId="8" borderId="211" xfId="5" applyFont="1" applyFill="1" applyBorder="1" applyAlignment="1">
      <alignment horizontal="center" vertical="center"/>
    </xf>
    <xf numFmtId="172" fontId="24" fillId="8" borderId="0" xfId="5" applyNumberFormat="1" applyFont="1" applyFill="1" applyAlignment="1">
      <alignment vertical="center"/>
    </xf>
    <xf numFmtId="171" fontId="24" fillId="8" borderId="70" xfId="5" applyNumberFormat="1" applyFont="1" applyFill="1" applyBorder="1" applyAlignment="1">
      <alignment vertical="center"/>
    </xf>
    <xf numFmtId="0" fontId="13" fillId="8" borderId="70" xfId="5" applyFill="1" applyBorder="1" applyAlignment="1">
      <alignment vertical="center"/>
    </xf>
    <xf numFmtId="172" fontId="25" fillId="8" borderId="236" xfId="5" applyNumberFormat="1" applyFont="1" applyFill="1" applyBorder="1" applyAlignment="1">
      <alignment horizontal="center" vertical="center"/>
    </xf>
    <xf numFmtId="172" fontId="25" fillId="8" borderId="210" xfId="5" applyNumberFormat="1" applyFont="1" applyFill="1" applyBorder="1" applyAlignment="1">
      <alignment vertical="center"/>
    </xf>
    <xf numFmtId="172" fontId="25" fillId="8" borderId="237" xfId="5" applyNumberFormat="1" applyFont="1" applyFill="1" applyBorder="1" applyAlignment="1">
      <alignment horizontal="center" vertical="center"/>
    </xf>
    <xf numFmtId="172" fontId="25" fillId="8" borderId="208" xfId="5" applyNumberFormat="1" applyFont="1" applyFill="1" applyBorder="1" applyAlignment="1">
      <alignment vertical="center"/>
    </xf>
    <xf numFmtId="172" fontId="22" fillId="8" borderId="211" xfId="5" applyNumberFormat="1" applyFont="1" applyFill="1" applyBorder="1" applyAlignment="1">
      <alignment vertical="center"/>
    </xf>
    <xf numFmtId="172" fontId="22" fillId="8" borderId="219" xfId="5" applyNumberFormat="1" applyFont="1" applyFill="1" applyBorder="1" applyAlignment="1">
      <alignment vertical="center"/>
    </xf>
    <xf numFmtId="180" fontId="7" fillId="17" borderId="47" xfId="3" quotePrefix="1" applyNumberFormat="1" applyFont="1" applyFill="1" applyBorder="1" applyAlignment="1">
      <alignment horizontal="center" vertical="center"/>
    </xf>
    <xf numFmtId="180" fontId="7" fillId="17" borderId="30" xfId="3" quotePrefix="1" applyNumberFormat="1" applyFont="1" applyFill="1" applyBorder="1" applyAlignment="1">
      <alignment horizontal="center" vertical="center"/>
    </xf>
    <xf numFmtId="164" fontId="10" fillId="18" borderId="83" xfId="5" applyNumberFormat="1" applyFont="1" applyFill="1" applyBorder="1" applyAlignment="1">
      <alignment vertical="center"/>
    </xf>
    <xf numFmtId="164" fontId="24" fillId="18" borderId="83" xfId="5" applyNumberFormat="1" applyFont="1" applyFill="1" applyBorder="1" applyAlignment="1">
      <alignment vertical="center"/>
    </xf>
    <xf numFmtId="164" fontId="10" fillId="18" borderId="28" xfId="5" applyNumberFormat="1" applyFont="1" applyFill="1" applyBorder="1" applyAlignment="1">
      <alignment vertical="center"/>
    </xf>
    <xf numFmtId="38" fontId="7" fillId="8" borderId="14" xfId="3" applyFont="1" applyFill="1" applyBorder="1" applyAlignment="1">
      <alignment horizontal="center" vertical="center"/>
    </xf>
    <xf numFmtId="0" fontId="32" fillId="8" borderId="0" xfId="5" applyFont="1" applyFill="1" applyAlignment="1">
      <alignment horizontal="left" vertical="center"/>
    </xf>
    <xf numFmtId="0" fontId="47" fillId="8" borderId="0" xfId="5" applyFont="1" applyFill="1"/>
    <xf numFmtId="0" fontId="13" fillId="0" borderId="0" xfId="5"/>
    <xf numFmtId="0" fontId="11" fillId="8" borderId="282" xfId="5" applyFont="1" applyFill="1" applyBorder="1"/>
    <xf numFmtId="0" fontId="11" fillId="8" borderId="283" xfId="5" applyFont="1" applyFill="1" applyBorder="1"/>
    <xf numFmtId="182" fontId="11" fillId="8" borderId="283" xfId="5" applyNumberFormat="1" applyFont="1" applyFill="1" applyBorder="1"/>
    <xf numFmtId="0" fontId="11" fillId="8" borderId="283" xfId="5" applyFont="1" applyFill="1" applyBorder="1" applyAlignment="1">
      <alignment horizontal="right"/>
    </xf>
    <xf numFmtId="0" fontId="11" fillId="8" borderId="284" xfId="5" quotePrefix="1" applyFont="1" applyFill="1" applyBorder="1" applyAlignment="1">
      <alignment horizontal="center" vertical="center"/>
    </xf>
    <xf numFmtId="0" fontId="13" fillId="8" borderId="282" xfId="5" applyFill="1" applyBorder="1"/>
    <xf numFmtId="0" fontId="13" fillId="8" borderId="283" xfId="5" applyFill="1" applyBorder="1"/>
    <xf numFmtId="0" fontId="13" fillId="8" borderId="284" xfId="5" applyFill="1" applyBorder="1"/>
    <xf numFmtId="0" fontId="11" fillId="8" borderId="285" xfId="5" applyFont="1" applyFill="1" applyBorder="1"/>
    <xf numFmtId="0" fontId="11" fillId="8" borderId="286" xfId="5" applyFont="1" applyFill="1" applyBorder="1"/>
    <xf numFmtId="182" fontId="11" fillId="8" borderId="286" xfId="5" applyNumberFormat="1" applyFont="1" applyFill="1" applyBorder="1"/>
    <xf numFmtId="0" fontId="11" fillId="8" borderId="286" xfId="5" applyFont="1" applyFill="1" applyBorder="1" applyAlignment="1">
      <alignment horizontal="right"/>
    </xf>
    <xf numFmtId="0" fontId="11" fillId="8" borderId="287" xfId="5" quotePrefix="1" applyFont="1" applyFill="1" applyBorder="1" applyAlignment="1">
      <alignment horizontal="center" vertical="center"/>
    </xf>
    <xf numFmtId="0" fontId="13" fillId="8" borderId="285" xfId="5" applyFill="1" applyBorder="1"/>
    <xf numFmtId="0" fontId="13" fillId="8" borderId="286" xfId="5" applyFill="1" applyBorder="1"/>
    <xf numFmtId="0" fontId="13" fillId="8" borderId="287" xfId="5" applyFill="1" applyBorder="1"/>
    <xf numFmtId="0" fontId="11" fillId="8" borderId="288" xfId="5" applyFont="1" applyFill="1" applyBorder="1"/>
    <xf numFmtId="0" fontId="11" fillId="8" borderId="289" xfId="5" applyFont="1" applyFill="1" applyBorder="1"/>
    <xf numFmtId="182" fontId="11" fillId="8" borderId="289" xfId="5" applyNumberFormat="1" applyFont="1" applyFill="1" applyBorder="1"/>
    <xf numFmtId="0" fontId="11" fillId="8" borderId="289" xfId="5" applyFont="1" applyFill="1" applyBorder="1" applyAlignment="1">
      <alignment horizontal="right"/>
    </xf>
    <xf numFmtId="0" fontId="11" fillId="8" borderId="290" xfId="5" quotePrefix="1" applyFont="1" applyFill="1" applyBorder="1" applyAlignment="1">
      <alignment horizontal="center" vertical="center"/>
    </xf>
    <xf numFmtId="0" fontId="13" fillId="8" borderId="288" xfId="5" applyFill="1" applyBorder="1"/>
    <xf numFmtId="0" fontId="13" fillId="8" borderId="289" xfId="5" applyFill="1" applyBorder="1"/>
    <xf numFmtId="0" fontId="13" fillId="8" borderId="290" xfId="5" applyFill="1" applyBorder="1"/>
    <xf numFmtId="0" fontId="11" fillId="8" borderId="30" xfId="5" applyFont="1" applyFill="1" applyBorder="1" applyAlignment="1">
      <alignment horizontal="center" vertical="center"/>
    </xf>
    <xf numFmtId="0" fontId="11" fillId="8" borderId="99" xfId="5" quotePrefix="1" applyFont="1" applyFill="1" applyBorder="1" applyAlignment="1">
      <alignment horizontal="center"/>
    </xf>
    <xf numFmtId="0" fontId="11" fillId="8" borderId="48" xfId="5" applyFont="1" applyFill="1" applyBorder="1"/>
    <xf numFmtId="182" fontId="11" fillId="8" borderId="67" xfId="5" applyNumberFormat="1" applyFont="1" applyFill="1" applyBorder="1"/>
    <xf numFmtId="166" fontId="11" fillId="8" borderId="0" xfId="6" applyFont="1" applyFill="1" applyBorder="1" applyAlignment="1"/>
    <xf numFmtId="166" fontId="11" fillId="8" borderId="35" xfId="6" applyFont="1" applyFill="1" applyBorder="1" applyAlignment="1"/>
    <xf numFmtId="0" fontId="11" fillId="8" borderId="246" xfId="5" quotePrefix="1" applyFont="1" applyFill="1" applyBorder="1" applyAlignment="1">
      <alignment horizontal="center"/>
    </xf>
    <xf numFmtId="0" fontId="11" fillId="8" borderId="17" xfId="5" applyFont="1" applyFill="1" applyBorder="1"/>
    <xf numFmtId="182" fontId="11" fillId="8" borderId="17" xfId="5" applyNumberFormat="1" applyFont="1" applyFill="1" applyBorder="1"/>
    <xf numFmtId="166" fontId="11" fillId="8" borderId="17" xfId="6" applyFont="1" applyFill="1" applyBorder="1" applyAlignment="1">
      <alignment horizontal="center"/>
    </xf>
    <xf numFmtId="166" fontId="11" fillId="8" borderId="17" xfId="6" applyFont="1" applyFill="1" applyBorder="1" applyAlignment="1">
      <alignment horizontal="right"/>
    </xf>
    <xf numFmtId="166" fontId="11" fillId="8" borderId="190" xfId="6" applyFont="1" applyFill="1" applyBorder="1" applyAlignment="1">
      <alignment horizontal="center"/>
    </xf>
    <xf numFmtId="0" fontId="11" fillId="8" borderId="246" xfId="5" applyFont="1" applyFill="1" applyBorder="1" applyAlignment="1">
      <alignment horizontal="center"/>
    </xf>
    <xf numFmtId="0" fontId="11" fillId="8" borderId="190" xfId="5" applyFont="1" applyFill="1" applyBorder="1"/>
    <xf numFmtId="0" fontId="11" fillId="8" borderId="35" xfId="5" applyFont="1" applyFill="1" applyBorder="1"/>
    <xf numFmtId="0" fontId="13" fillId="20" borderId="286" xfId="5" applyFill="1" applyBorder="1"/>
    <xf numFmtId="0" fontId="11" fillId="8" borderId="0" xfId="5" applyFont="1" applyFill="1"/>
    <xf numFmtId="0" fontId="11" fillId="8" borderId="245" xfId="5" applyFont="1" applyFill="1" applyBorder="1"/>
    <xf numFmtId="0" fontId="11" fillId="8" borderId="244" xfId="5" applyFont="1" applyFill="1" applyBorder="1" applyAlignment="1">
      <alignment horizontal="center"/>
    </xf>
    <xf numFmtId="0" fontId="11" fillId="8" borderId="29" xfId="5" applyFont="1" applyFill="1" applyBorder="1"/>
    <xf numFmtId="182" fontId="11" fillId="8" borderId="29" xfId="5" applyNumberFormat="1" applyFont="1" applyFill="1" applyBorder="1"/>
    <xf numFmtId="166" fontId="11" fillId="8" borderId="29" xfId="6" applyFont="1" applyFill="1" applyBorder="1" applyAlignment="1">
      <alignment horizontal="right"/>
    </xf>
    <xf numFmtId="0" fontId="13" fillId="0" borderId="3" xfId="5" applyBorder="1" applyAlignment="1">
      <alignment horizontal="center"/>
    </xf>
    <xf numFmtId="0" fontId="13" fillId="0" borderId="3" xfId="5" applyBorder="1"/>
    <xf numFmtId="182" fontId="13" fillId="0" borderId="3" xfId="5" applyNumberFormat="1" applyBorder="1"/>
    <xf numFmtId="0" fontId="17" fillId="8" borderId="0" xfId="5" applyFont="1" applyFill="1"/>
    <xf numFmtId="0" fontId="14" fillId="8" borderId="1" xfId="5" applyFont="1" applyFill="1" applyBorder="1" applyAlignment="1">
      <alignment horizontal="left"/>
    </xf>
    <xf numFmtId="0" fontId="17" fillId="8" borderId="3" xfId="5" applyFont="1" applyFill="1" applyBorder="1"/>
    <xf numFmtId="182" fontId="17" fillId="8" borderId="3" xfId="5" applyNumberFormat="1" applyFont="1" applyFill="1" applyBorder="1"/>
    <xf numFmtId="0" fontId="17" fillId="8" borderId="5" xfId="5" applyFont="1" applyFill="1" applyBorder="1"/>
    <xf numFmtId="0" fontId="17" fillId="0" borderId="0" xfId="5" applyFont="1"/>
    <xf numFmtId="0" fontId="22" fillId="8" borderId="0" xfId="5" applyFont="1" applyFill="1"/>
    <xf numFmtId="0" fontId="22" fillId="8" borderId="20" xfId="5" quotePrefix="1" applyFont="1" applyFill="1" applyBorder="1" applyAlignment="1">
      <alignment horizontal="right" vertical="center"/>
    </xf>
    <xf numFmtId="0" fontId="22" fillId="0" borderId="0" xfId="5" applyFont="1"/>
    <xf numFmtId="0" fontId="22" fillId="8" borderId="20" xfId="5" applyFont="1" applyFill="1" applyBorder="1" applyAlignment="1">
      <alignment horizontal="right" vertical="center"/>
    </xf>
    <xf numFmtId="0" fontId="22" fillId="8" borderId="26" xfId="5" applyFont="1" applyFill="1" applyBorder="1" applyAlignment="1">
      <alignment horizontal="right" vertical="center"/>
    </xf>
    <xf numFmtId="0" fontId="13" fillId="0" borderId="0" xfId="5" applyAlignment="1">
      <alignment horizontal="right" vertical="center"/>
    </xf>
    <xf numFmtId="182" fontId="13" fillId="0" borderId="0" xfId="5" applyNumberFormat="1"/>
    <xf numFmtId="0" fontId="20" fillId="8" borderId="286" xfId="5" applyFont="1" applyFill="1" applyBorder="1"/>
    <xf numFmtId="0" fontId="13" fillId="20" borderId="283" xfId="5" applyFill="1" applyBorder="1"/>
    <xf numFmtId="0" fontId="13" fillId="20" borderId="289" xfId="5" applyFill="1" applyBorder="1"/>
    <xf numFmtId="183" fontId="13" fillId="8" borderId="286" xfId="5" applyNumberFormat="1" applyFill="1" applyBorder="1"/>
    <xf numFmtId="183" fontId="13" fillId="19" borderId="286" xfId="5" applyNumberFormat="1" applyFill="1" applyBorder="1"/>
    <xf numFmtId="183" fontId="13" fillId="8" borderId="287" xfId="5" applyNumberFormat="1" applyFill="1" applyBorder="1"/>
    <xf numFmtId="0" fontId="11" fillId="0" borderId="55" xfId="5" applyFont="1" applyBorder="1"/>
    <xf numFmtId="0" fontId="13" fillId="8" borderId="35" xfId="5" applyFill="1" applyBorder="1"/>
    <xf numFmtId="183" fontId="13" fillId="0" borderId="0" xfId="5" applyNumberFormat="1"/>
    <xf numFmtId="183" fontId="13" fillId="19" borderId="289" xfId="5" applyNumberFormat="1" applyFill="1" applyBorder="1"/>
    <xf numFmtId="183" fontId="13" fillId="8" borderId="290" xfId="5" applyNumberFormat="1" applyFill="1" applyBorder="1"/>
    <xf numFmtId="0" fontId="22" fillId="8" borderId="35" xfId="5" quotePrefix="1" applyFont="1" applyFill="1" applyBorder="1" applyAlignment="1">
      <alignment vertical="center"/>
    </xf>
    <xf numFmtId="0" fontId="22" fillId="8" borderId="28" xfId="5" quotePrefix="1" applyFont="1" applyFill="1" applyBorder="1" applyAlignment="1">
      <alignment vertical="center"/>
    </xf>
    <xf numFmtId="0" fontId="22" fillId="8" borderId="129" xfId="5" quotePrefix="1" applyFont="1" applyFill="1" applyBorder="1" applyAlignment="1">
      <alignment vertical="center"/>
    </xf>
    <xf numFmtId="0" fontId="22" fillId="8" borderId="0" xfId="5" quotePrefix="1" applyFont="1" applyFill="1" applyAlignment="1">
      <alignment vertical="center"/>
    </xf>
    <xf numFmtId="0" fontId="4" fillId="0" borderId="129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 wrapText="1"/>
    </xf>
    <xf numFmtId="38" fontId="7" fillId="0" borderId="28" xfId="3" quotePrefix="1" applyFont="1" applyFill="1" applyBorder="1" applyAlignment="1">
      <alignment horizontal="center" vertical="center"/>
    </xf>
    <xf numFmtId="0" fontId="28" fillId="6" borderId="155" xfId="5" applyFont="1" applyFill="1" applyBorder="1" applyAlignment="1">
      <alignment horizontal="center" vertical="center" wrapText="1"/>
    </xf>
    <xf numFmtId="38" fontId="7" fillId="17" borderId="14" xfId="3" applyFont="1" applyFill="1" applyBorder="1" applyAlignment="1">
      <alignment horizontal="center" vertical="center"/>
    </xf>
    <xf numFmtId="164" fontId="10" fillId="18" borderId="0" xfId="5" applyNumberFormat="1" applyFont="1" applyFill="1" applyAlignment="1">
      <alignment vertical="center"/>
    </xf>
    <xf numFmtId="164" fontId="10" fillId="18" borderId="292" xfId="5" applyNumberFormat="1" applyFont="1" applyFill="1" applyBorder="1" applyAlignment="1">
      <alignment vertical="center"/>
    </xf>
    <xf numFmtId="164" fontId="10" fillId="18" borderId="112" xfId="5" applyNumberFormat="1" applyFont="1" applyFill="1" applyBorder="1" applyAlignment="1">
      <alignment vertical="center"/>
    </xf>
    <xf numFmtId="164" fontId="10" fillId="18" borderId="26" xfId="5" applyNumberFormat="1" applyFont="1" applyFill="1" applyBorder="1" applyAlignment="1">
      <alignment vertical="center"/>
    </xf>
    <xf numFmtId="171" fontId="13" fillId="8" borderId="0" xfId="5" applyNumberFormat="1" applyFill="1" applyAlignment="1">
      <alignment vertical="center"/>
    </xf>
    <xf numFmtId="0" fontId="21" fillId="8" borderId="0" xfId="5" applyFont="1" applyFill="1" applyAlignment="1">
      <alignment horizontal="center" vertical="center"/>
    </xf>
    <xf numFmtId="1" fontId="7" fillId="0" borderId="71" xfId="2" quotePrefix="1" applyNumberFormat="1" applyFont="1" applyBorder="1" applyAlignment="1">
      <alignment horizontal="center" vertical="center"/>
    </xf>
    <xf numFmtId="38" fontId="7" fillId="8" borderId="65" xfId="3" quotePrefix="1" applyFont="1" applyFill="1" applyBorder="1" applyAlignment="1">
      <alignment horizontal="center" vertical="center"/>
    </xf>
    <xf numFmtId="38" fontId="7" fillId="17" borderId="70" xfId="3" applyFont="1" applyFill="1" applyBorder="1" applyAlignment="1">
      <alignment horizontal="center" vertical="center"/>
    </xf>
    <xf numFmtId="17" fontId="7" fillId="0" borderId="73" xfId="2" quotePrefix="1" applyNumberFormat="1" applyFont="1" applyBorder="1" applyAlignment="1">
      <alignment horizontal="center" vertical="center"/>
    </xf>
    <xf numFmtId="38" fontId="7" fillId="0" borderId="128" xfId="3" applyFont="1" applyFill="1" applyBorder="1" applyAlignment="1">
      <alignment horizontal="center" vertical="center"/>
    </xf>
    <xf numFmtId="38" fontId="7" fillId="0" borderId="33" xfId="3" applyFont="1" applyFill="1" applyBorder="1" applyAlignment="1">
      <alignment horizontal="center" vertical="center"/>
    </xf>
    <xf numFmtId="38" fontId="4" fillId="0" borderId="33" xfId="3" quotePrefix="1" applyFont="1" applyFill="1" applyBorder="1" applyAlignment="1">
      <alignment horizontal="center" vertical="center"/>
    </xf>
    <xf numFmtId="38" fontId="4" fillId="8" borderId="17" xfId="3" applyFont="1" applyFill="1" applyBorder="1" applyAlignment="1">
      <alignment horizontal="center" vertical="center"/>
    </xf>
    <xf numFmtId="38" fontId="4" fillId="8" borderId="29" xfId="3" applyFont="1" applyFill="1" applyBorder="1" applyAlignment="1">
      <alignment horizontal="center" vertical="center"/>
    </xf>
    <xf numFmtId="38" fontId="4" fillId="8" borderId="70" xfId="3" applyFont="1" applyFill="1" applyBorder="1" applyAlignment="1">
      <alignment horizontal="center" vertical="center"/>
    </xf>
    <xf numFmtId="180" fontId="7" fillId="17" borderId="65" xfId="3" quotePrefix="1" applyNumberFormat="1" applyFont="1" applyFill="1" applyBorder="1" applyAlignment="1">
      <alignment horizontal="center" vertical="center"/>
    </xf>
    <xf numFmtId="38" fontId="7" fillId="8" borderId="64" xfId="3" applyFont="1" applyFill="1" applyBorder="1" applyAlignment="1">
      <alignment horizontal="center" vertical="center"/>
    </xf>
    <xf numFmtId="173" fontId="12" fillId="0" borderId="70" xfId="3" applyNumberFormat="1" applyFont="1" applyFill="1" applyBorder="1" applyAlignment="1">
      <alignment horizontal="center" vertical="center"/>
    </xf>
    <xf numFmtId="172" fontId="12" fillId="0" borderId="29" xfId="3" applyNumberFormat="1" applyFont="1" applyFill="1" applyBorder="1" applyAlignment="1">
      <alignment horizontal="center" vertical="center"/>
    </xf>
    <xf numFmtId="1" fontId="7" fillId="0" borderId="73" xfId="2" quotePrefix="1" applyNumberFormat="1" applyFont="1" applyBorder="1" applyAlignment="1">
      <alignment horizontal="center" vertical="center"/>
    </xf>
    <xf numFmtId="38" fontId="7" fillId="8" borderId="128" xfId="3" applyFont="1" applyFill="1" applyBorder="1" applyAlignment="1">
      <alignment horizontal="center" vertical="center"/>
    </xf>
    <xf numFmtId="38" fontId="7" fillId="8" borderId="33" xfId="3" quotePrefix="1" applyFont="1" applyFill="1" applyBorder="1" applyAlignment="1">
      <alignment horizontal="center" vertical="center"/>
    </xf>
    <xf numFmtId="38" fontId="7" fillId="8" borderId="25" xfId="3" applyFont="1" applyFill="1" applyBorder="1" applyAlignment="1">
      <alignment horizontal="center" vertical="center"/>
    </xf>
    <xf numFmtId="38" fontId="7" fillId="17" borderId="25" xfId="3" applyFont="1" applyFill="1" applyBorder="1" applyAlignment="1">
      <alignment horizontal="center" vertical="center"/>
    </xf>
    <xf numFmtId="180" fontId="7" fillId="17" borderId="33" xfId="3" quotePrefix="1" applyNumberFormat="1" applyFont="1" applyFill="1" applyBorder="1" applyAlignment="1">
      <alignment horizontal="center" vertical="center"/>
    </xf>
    <xf numFmtId="173" fontId="12" fillId="0" borderId="25" xfId="3" applyNumberFormat="1" applyFont="1" applyFill="1" applyBorder="1" applyAlignment="1">
      <alignment horizontal="center" vertical="center"/>
    </xf>
    <xf numFmtId="172" fontId="12" fillId="0" borderId="33" xfId="3" quotePrefix="1" applyNumberFormat="1" applyFont="1" applyFill="1" applyBorder="1" applyAlignment="1">
      <alignment horizontal="center" vertical="center"/>
    </xf>
    <xf numFmtId="164" fontId="10" fillId="8" borderId="112" xfId="5" applyNumberFormat="1" applyFont="1" applyFill="1" applyBorder="1" applyAlignment="1">
      <alignment vertical="center"/>
    </xf>
    <xf numFmtId="164" fontId="10" fillId="8" borderId="293" xfId="5" applyNumberFormat="1" applyFont="1" applyFill="1" applyBorder="1" applyAlignment="1">
      <alignment vertical="center"/>
    </xf>
    <xf numFmtId="164" fontId="10" fillId="8" borderId="129" xfId="5" applyNumberFormat="1" applyFont="1" applyFill="1" applyBorder="1" applyAlignment="1">
      <alignment vertical="center"/>
    </xf>
    <xf numFmtId="0" fontId="11" fillId="8" borderId="0" xfId="5" applyFont="1" applyFill="1" applyAlignment="1">
      <alignment horizontal="right" vertical="center"/>
    </xf>
    <xf numFmtId="164" fontId="11" fillId="8" borderId="0" xfId="5" applyNumberFormat="1" applyFont="1" applyFill="1" applyAlignment="1">
      <alignment vertical="top"/>
    </xf>
    <xf numFmtId="0" fontId="0" fillId="0" borderId="70" xfId="0" applyBorder="1"/>
    <xf numFmtId="38" fontId="7" fillId="17" borderId="19" xfId="3" applyFont="1" applyFill="1" applyBorder="1" applyAlignment="1">
      <alignment horizontal="center" vertical="center"/>
    </xf>
    <xf numFmtId="38" fontId="7" fillId="8" borderId="17" xfId="3" applyFont="1" applyFill="1" applyBorder="1" applyAlignment="1">
      <alignment horizontal="center" vertical="center"/>
    </xf>
    <xf numFmtId="38" fontId="7" fillId="8" borderId="29" xfId="3" applyFont="1" applyFill="1" applyBorder="1" applyAlignment="1">
      <alignment horizontal="center" vertical="center"/>
    </xf>
    <xf numFmtId="38" fontId="7" fillId="8" borderId="70" xfId="3" applyFont="1" applyFill="1" applyBorder="1" applyAlignment="1">
      <alignment horizontal="center" vertical="center"/>
    </xf>
    <xf numFmtId="38" fontId="7" fillId="8" borderId="13" xfId="3" applyFont="1" applyFill="1" applyBorder="1" applyAlignment="1">
      <alignment horizontal="center" vertical="center"/>
    </xf>
    <xf numFmtId="180" fontId="7" fillId="17" borderId="29" xfId="3" quotePrefix="1" applyNumberFormat="1" applyFont="1" applyFill="1" applyBorder="1" applyAlignment="1">
      <alignment horizontal="center" vertical="center"/>
    </xf>
    <xf numFmtId="38" fontId="4" fillId="8" borderId="91" xfId="3" applyFont="1" applyFill="1" applyBorder="1" applyAlignment="1">
      <alignment horizontal="center" vertical="center"/>
    </xf>
    <xf numFmtId="0" fontId="11" fillId="19" borderId="276" xfId="5" applyFont="1" applyFill="1" applyBorder="1" applyAlignment="1">
      <alignment horizontal="center"/>
    </xf>
    <xf numFmtId="0" fontId="11" fillId="8" borderId="286" xfId="5" applyFont="1" applyFill="1" applyBorder="1" applyAlignment="1">
      <alignment horizontal="center"/>
    </xf>
    <xf numFmtId="0" fontId="11" fillId="0" borderId="55" xfId="5" applyFont="1" applyBorder="1" applyAlignment="1">
      <alignment horizontal="center"/>
    </xf>
    <xf numFmtId="0" fontId="11" fillId="0" borderId="266" xfId="5" applyFont="1" applyBorder="1" applyAlignment="1">
      <alignment horizontal="center"/>
    </xf>
    <xf numFmtId="0" fontId="11" fillId="0" borderId="272" xfId="5" applyFont="1" applyBorder="1" applyAlignment="1">
      <alignment horizontal="center"/>
    </xf>
    <xf numFmtId="0" fontId="11" fillId="0" borderId="273" xfId="5" applyFont="1" applyBorder="1" applyAlignment="1">
      <alignment horizontal="center"/>
    </xf>
    <xf numFmtId="0" fontId="11" fillId="0" borderId="274" xfId="5" applyFont="1" applyBorder="1" applyAlignment="1">
      <alignment horizontal="center"/>
    </xf>
    <xf numFmtId="0" fontId="11" fillId="8" borderId="276" xfId="5" applyFont="1" applyFill="1" applyBorder="1" applyAlignment="1">
      <alignment horizontal="center"/>
    </xf>
    <xf numFmtId="0" fontId="11" fillId="8" borderId="281" xfId="5" applyFont="1" applyFill="1" applyBorder="1" applyAlignment="1">
      <alignment horizontal="center"/>
    </xf>
    <xf numFmtId="0" fontId="11" fillId="8" borderId="277" xfId="5" applyFont="1" applyFill="1" applyBorder="1" applyAlignment="1">
      <alignment horizontal="center"/>
    </xf>
    <xf numFmtId="0" fontId="11" fillId="0" borderId="279" xfId="5" applyFont="1" applyBorder="1" applyAlignment="1">
      <alignment horizontal="center"/>
    </xf>
    <xf numFmtId="0" fontId="11" fillId="0" borderId="276" xfId="5" applyFont="1" applyBorder="1" applyAlignment="1">
      <alignment horizontal="center"/>
    </xf>
    <xf numFmtId="0" fontId="11" fillId="8" borderId="280" xfId="5" applyFont="1" applyFill="1" applyBorder="1" applyAlignment="1">
      <alignment horizontal="center"/>
    </xf>
    <xf numFmtId="0" fontId="11" fillId="8" borderId="56" xfId="5" applyFont="1" applyFill="1" applyBorder="1" applyAlignment="1">
      <alignment horizontal="center" vertical="center"/>
    </xf>
    <xf numFmtId="0" fontId="11" fillId="8" borderId="61" xfId="5" applyFont="1" applyFill="1" applyBorder="1" applyAlignment="1">
      <alignment horizontal="center" vertical="center"/>
    </xf>
    <xf numFmtId="0" fontId="11" fillId="8" borderId="14" xfId="5" applyFont="1" applyFill="1" applyBorder="1" applyAlignment="1">
      <alignment horizontal="center" vertical="center"/>
    </xf>
    <xf numFmtId="0" fontId="11" fillId="8" borderId="72" xfId="5" applyFont="1" applyFill="1" applyBorder="1" applyAlignment="1">
      <alignment horizontal="center" vertical="center"/>
    </xf>
    <xf numFmtId="0" fontId="11" fillId="8" borderId="30" xfId="5" applyFont="1" applyFill="1" applyBorder="1" applyAlignment="1">
      <alignment horizontal="center" vertical="center"/>
    </xf>
    <xf numFmtId="0" fontId="11" fillId="8" borderId="33" xfId="5" applyFont="1" applyFill="1" applyBorder="1" applyAlignment="1">
      <alignment horizontal="center" vertical="center"/>
    </xf>
    <xf numFmtId="0" fontId="11" fillId="0" borderId="275" xfId="5" applyFont="1" applyBorder="1" applyAlignment="1">
      <alignment horizontal="center"/>
    </xf>
    <xf numFmtId="0" fontId="24" fillId="0" borderId="56" xfId="5" applyFont="1" applyBorder="1" applyAlignment="1">
      <alignment horizontal="center" vertical="center" wrapText="1"/>
    </xf>
    <xf numFmtId="0" fontId="24" fillId="0" borderId="14" xfId="5" applyFont="1" applyBorder="1" applyAlignment="1">
      <alignment horizontal="center" vertical="center"/>
    </xf>
    <xf numFmtId="0" fontId="24" fillId="0" borderId="72" xfId="5" applyFont="1" applyBorder="1" applyAlignment="1">
      <alignment horizontal="center" vertical="center"/>
    </xf>
    <xf numFmtId="0" fontId="24" fillId="0" borderId="59" xfId="5" applyFont="1" applyBorder="1" applyAlignment="1">
      <alignment horizontal="center" vertical="center" wrapText="1"/>
    </xf>
    <xf numFmtId="0" fontId="24" fillId="0" borderId="19" xfId="5" applyFont="1" applyBorder="1" applyAlignment="1">
      <alignment horizontal="center" vertical="center"/>
    </xf>
    <xf numFmtId="0" fontId="24" fillId="0" borderId="128" xfId="5" applyFont="1" applyBorder="1" applyAlignment="1">
      <alignment horizontal="center" vertical="center"/>
    </xf>
    <xf numFmtId="0" fontId="24" fillId="0" borderId="61" xfId="5" applyFont="1" applyBorder="1" applyAlignment="1">
      <alignment horizontal="center" vertical="center"/>
    </xf>
    <xf numFmtId="0" fontId="24" fillId="0" borderId="30" xfId="5" applyFont="1" applyBorder="1" applyAlignment="1">
      <alignment horizontal="center" vertical="center"/>
    </xf>
    <xf numFmtId="0" fontId="24" fillId="0" borderId="33" xfId="5" applyFont="1" applyBorder="1" applyAlignment="1">
      <alignment horizontal="center" vertical="center"/>
    </xf>
    <xf numFmtId="0" fontId="11" fillId="0" borderId="267" xfId="5" applyFont="1" applyBorder="1" applyAlignment="1">
      <alignment horizontal="center"/>
    </xf>
    <xf numFmtId="0" fontId="11" fillId="0" borderId="268" xfId="5" applyFont="1" applyBorder="1" applyAlignment="1">
      <alignment horizontal="center"/>
    </xf>
    <xf numFmtId="0" fontId="11" fillId="0" borderId="269" xfId="5" applyFont="1" applyBorder="1" applyAlignment="1">
      <alignment horizontal="center"/>
    </xf>
    <xf numFmtId="0" fontId="11" fillId="0" borderId="270" xfId="5" applyFont="1" applyBorder="1" applyAlignment="1">
      <alignment horizontal="center"/>
    </xf>
    <xf numFmtId="0" fontId="11" fillId="0" borderId="271" xfId="5" applyFont="1" applyBorder="1" applyAlignment="1">
      <alignment horizontal="left" indent="6"/>
    </xf>
    <xf numFmtId="0" fontId="11" fillId="0" borderId="270" xfId="5" applyFont="1" applyBorder="1" applyAlignment="1">
      <alignment horizontal="left" indent="6"/>
    </xf>
    <xf numFmtId="0" fontId="11" fillId="8" borderId="275" xfId="5" applyFont="1" applyFill="1" applyBorder="1" applyAlignment="1">
      <alignment horizontal="center"/>
    </xf>
    <xf numFmtId="0" fontId="11" fillId="0" borderId="277" xfId="5" applyFont="1" applyBorder="1" applyAlignment="1">
      <alignment horizontal="center"/>
    </xf>
    <xf numFmtId="0" fontId="11" fillId="19" borderId="277" xfId="5" applyFont="1" applyFill="1" applyBorder="1" applyAlignment="1">
      <alignment horizontal="center"/>
    </xf>
    <xf numFmtId="0" fontId="11" fillId="19" borderId="278" xfId="5" applyFont="1" applyFill="1" applyBorder="1" applyAlignment="1">
      <alignment horizontal="center"/>
    </xf>
    <xf numFmtId="0" fontId="11" fillId="19" borderId="279" xfId="5" applyFont="1" applyFill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171" fontId="37" fillId="0" borderId="3" xfId="0" applyNumberFormat="1" applyFont="1" applyBorder="1" applyAlignment="1">
      <alignment horizontal="center" vertical="center"/>
    </xf>
    <xf numFmtId="171" fontId="37" fillId="0" borderId="5" xfId="0" applyNumberFormat="1" applyFont="1" applyBorder="1" applyAlignment="1">
      <alignment horizontal="center" vertical="center"/>
    </xf>
    <xf numFmtId="171" fontId="37" fillId="0" borderId="28" xfId="0" applyNumberFormat="1" applyFont="1" applyBorder="1" applyAlignment="1">
      <alignment horizontal="center" vertical="center"/>
    </xf>
    <xf numFmtId="171" fontId="37" fillId="0" borderId="129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27" xfId="2" applyFont="1" applyBorder="1" applyAlignment="1">
      <alignment horizontal="center" vertical="center" wrapText="1"/>
    </xf>
    <xf numFmtId="0" fontId="4" fillId="0" borderId="43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38" fontId="4" fillId="0" borderId="2" xfId="3" applyFont="1" applyFill="1" applyBorder="1" applyAlignment="1">
      <alignment horizontal="center" vertical="center"/>
    </xf>
    <xf numFmtId="38" fontId="4" fillId="0" borderId="27" xfId="3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7" fontId="7" fillId="0" borderId="4" xfId="2" quotePrefix="1" applyNumberFormat="1" applyFont="1" applyBorder="1" applyAlignment="1">
      <alignment horizontal="center" vertical="center"/>
    </xf>
    <xf numFmtId="17" fontId="7" fillId="0" borderId="3" xfId="2" quotePrefix="1" applyNumberFormat="1" applyFont="1" applyBorder="1" applyAlignment="1">
      <alignment horizontal="center" vertical="center"/>
    </xf>
    <xf numFmtId="17" fontId="7" fillId="0" borderId="37" xfId="2" quotePrefix="1" applyNumberFormat="1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 wrapText="1"/>
    </xf>
    <xf numFmtId="0" fontId="7" fillId="0" borderId="43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38" fontId="4" fillId="0" borderId="43" xfId="3" applyFont="1" applyFill="1" applyBorder="1" applyAlignment="1">
      <alignment horizontal="center" vertical="center"/>
    </xf>
    <xf numFmtId="38" fontId="7" fillId="3" borderId="46" xfId="3" applyFont="1" applyFill="1" applyBorder="1" applyAlignment="1">
      <alignment horizontal="center" vertical="center" wrapText="1"/>
    </xf>
    <xf numFmtId="38" fontId="7" fillId="3" borderId="48" xfId="3" applyFont="1" applyFill="1" applyBorder="1" applyAlignment="1">
      <alignment horizontal="center" vertical="center" wrapText="1"/>
    </xf>
    <xf numFmtId="38" fontId="7" fillId="3" borderId="51" xfId="3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 wrapText="1"/>
    </xf>
    <xf numFmtId="0" fontId="7" fillId="0" borderId="38" xfId="2" applyFont="1" applyBorder="1" applyAlignment="1">
      <alignment horizontal="center" vertical="center" wrapText="1"/>
    </xf>
    <xf numFmtId="171" fontId="4" fillId="0" borderId="1" xfId="2" applyNumberFormat="1" applyFont="1" applyBorder="1" applyAlignment="1">
      <alignment horizontal="center" vertical="center" wrapText="1"/>
    </xf>
    <xf numFmtId="171" fontId="4" fillId="0" borderId="75" xfId="2" applyNumberFormat="1" applyFont="1" applyBorder="1" applyAlignment="1">
      <alignment horizontal="center" vertical="center" wrapText="1"/>
    </xf>
    <xf numFmtId="171" fontId="4" fillId="0" borderId="26" xfId="2" applyNumberFormat="1" applyFont="1" applyBorder="1" applyAlignment="1">
      <alignment horizontal="center" vertical="center" wrapText="1"/>
    </xf>
    <xf numFmtId="171" fontId="4" fillId="0" borderId="116" xfId="2" applyNumberFormat="1" applyFont="1" applyBorder="1" applyAlignment="1">
      <alignment horizontal="center" vertical="center" wrapText="1"/>
    </xf>
    <xf numFmtId="0" fontId="4" fillId="0" borderId="119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115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129" xfId="2" applyFont="1" applyBorder="1" applyAlignment="1">
      <alignment horizontal="center" vertical="center" wrapText="1"/>
    </xf>
    <xf numFmtId="38" fontId="12" fillId="0" borderId="152" xfId="3" applyFont="1" applyFill="1" applyBorder="1" applyAlignment="1">
      <alignment horizontal="center" vertical="center"/>
    </xf>
    <xf numFmtId="38" fontId="12" fillId="0" borderId="153" xfId="3" applyFont="1" applyFill="1" applyBorder="1" applyAlignment="1">
      <alignment horizontal="center" vertical="center"/>
    </xf>
    <xf numFmtId="38" fontId="12" fillId="0" borderId="58" xfId="3" applyFont="1" applyFill="1" applyBorder="1" applyAlignment="1">
      <alignment horizontal="center" vertical="center"/>
    </xf>
    <xf numFmtId="38" fontId="12" fillId="0" borderId="51" xfId="3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38" fontId="4" fillId="0" borderId="12" xfId="3" applyFont="1" applyFill="1" applyBorder="1" applyAlignment="1">
      <alignment horizontal="center" vertical="center"/>
    </xf>
    <xf numFmtId="38" fontId="7" fillId="3" borderId="23" xfId="3" applyFont="1" applyFill="1" applyBorder="1" applyAlignment="1">
      <alignment horizontal="center" vertical="center" wrapText="1"/>
    </xf>
    <xf numFmtId="0" fontId="4" fillId="0" borderId="146" xfId="2" applyFont="1" applyBorder="1" applyAlignment="1">
      <alignment horizontal="center" vertical="center" wrapText="1"/>
    </xf>
    <xf numFmtId="0" fontId="7" fillId="0" borderId="146" xfId="2" applyFont="1" applyBorder="1" applyAlignment="1">
      <alignment horizontal="center" vertical="center"/>
    </xf>
    <xf numFmtId="0" fontId="4" fillId="0" borderId="146" xfId="2" applyFont="1" applyBorder="1" applyAlignment="1">
      <alignment horizontal="center" vertical="center"/>
    </xf>
    <xf numFmtId="38" fontId="4" fillId="0" borderId="146" xfId="3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114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17" fontId="7" fillId="0" borderId="3" xfId="2" applyNumberFormat="1" applyFont="1" applyBorder="1" applyAlignment="1">
      <alignment horizontal="center" vertical="center"/>
    </xf>
    <xf numFmtId="17" fontId="7" fillId="0" borderId="5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4" fillId="0" borderId="26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17" fontId="7" fillId="0" borderId="5" xfId="2" quotePrefix="1" applyNumberFormat="1" applyFont="1" applyBorder="1" applyAlignment="1">
      <alignment horizontal="center" vertical="center"/>
    </xf>
    <xf numFmtId="184" fontId="7" fillId="0" borderId="4" xfId="2" quotePrefix="1" applyNumberFormat="1" applyFont="1" applyBorder="1" applyAlignment="1">
      <alignment horizontal="center" vertical="center"/>
    </xf>
    <xf numFmtId="184" fontId="7" fillId="0" borderId="3" xfId="2" quotePrefix="1" applyNumberFormat="1" applyFont="1" applyBorder="1" applyAlignment="1">
      <alignment horizontal="center" vertical="center"/>
    </xf>
    <xf numFmtId="184" fontId="7" fillId="0" borderId="37" xfId="2" quotePrefix="1" applyNumberFormat="1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171" fontId="37" fillId="0" borderId="0" xfId="0" applyNumberFormat="1" applyFont="1" applyAlignment="1">
      <alignment horizontal="center" vertical="center"/>
    </xf>
    <xf numFmtId="171" fontId="37" fillId="0" borderId="35" xfId="0" applyNumberFormat="1" applyFont="1" applyBorder="1" applyAlignment="1">
      <alignment horizontal="center" vertical="center"/>
    </xf>
    <xf numFmtId="166" fontId="11" fillId="8" borderId="170" xfId="6" applyFont="1" applyFill="1" applyBorder="1" applyAlignment="1">
      <alignment horizontal="right" vertical="top" wrapText="1" indent="1"/>
    </xf>
    <xf numFmtId="166" fontId="11" fillId="8" borderId="171" xfId="6" applyFont="1" applyFill="1" applyBorder="1" applyAlignment="1">
      <alignment horizontal="right" vertical="top" wrapText="1" indent="1"/>
    </xf>
    <xf numFmtId="166" fontId="11" fillId="8" borderId="172" xfId="6" applyFont="1" applyFill="1" applyBorder="1" applyAlignment="1">
      <alignment horizontal="right" vertical="top" wrapText="1" indent="1"/>
    </xf>
    <xf numFmtId="164" fontId="11" fillId="8" borderId="93" xfId="5" quotePrefix="1" applyNumberFormat="1" applyFont="1" applyFill="1" applyBorder="1" applyAlignment="1">
      <alignment horizontal="center" vertical="top"/>
    </xf>
    <xf numFmtId="164" fontId="11" fillId="8" borderId="89" xfId="5" quotePrefix="1" applyNumberFormat="1" applyFont="1" applyFill="1" applyBorder="1" applyAlignment="1">
      <alignment horizontal="center" vertical="top"/>
    </xf>
    <xf numFmtId="164" fontId="11" fillId="8" borderId="23" xfId="5" quotePrefix="1" applyNumberFormat="1" applyFont="1" applyFill="1" applyBorder="1" applyAlignment="1">
      <alignment horizontal="center" vertical="top" wrapText="1"/>
    </xf>
    <xf numFmtId="164" fontId="11" fillId="8" borderId="15" xfId="5" applyNumberFormat="1" applyFont="1" applyFill="1" applyBorder="1" applyAlignment="1">
      <alignment horizontal="center" vertical="top" wrapText="1"/>
    </xf>
    <xf numFmtId="164" fontId="11" fillId="8" borderId="23" xfId="5" applyNumberFormat="1" applyFont="1" applyFill="1" applyBorder="1" applyAlignment="1">
      <alignment horizontal="center" vertical="top" wrapText="1"/>
    </xf>
    <xf numFmtId="166" fontId="11" fillId="8" borderId="111" xfId="6" applyFont="1" applyFill="1" applyBorder="1" applyAlignment="1">
      <alignment horizontal="right" vertical="top" wrapText="1"/>
    </xf>
    <xf numFmtId="166" fontId="11" fillId="8" borderId="112" xfId="6" applyFont="1" applyFill="1" applyBorder="1" applyAlignment="1">
      <alignment horizontal="right" vertical="top" wrapText="1"/>
    </xf>
    <xf numFmtId="166" fontId="11" fillId="8" borderId="157" xfId="6" applyFont="1" applyFill="1" applyBorder="1" applyAlignment="1">
      <alignment horizontal="right" vertical="top" wrapText="1"/>
    </xf>
    <xf numFmtId="166" fontId="11" fillId="8" borderId="108" xfId="6" applyFont="1" applyFill="1" applyBorder="1" applyAlignment="1">
      <alignment horizontal="right" vertical="top" wrapText="1"/>
    </xf>
    <xf numFmtId="166" fontId="11" fillId="8" borderId="109" xfId="6" applyFont="1" applyFill="1" applyBorder="1" applyAlignment="1">
      <alignment horizontal="right" vertical="top" wrapText="1"/>
    </xf>
    <xf numFmtId="166" fontId="11" fillId="8" borderId="107" xfId="6" applyFont="1" applyFill="1" applyBorder="1" applyAlignment="1">
      <alignment horizontal="right" vertical="top" wrapText="1"/>
    </xf>
    <xf numFmtId="166" fontId="11" fillId="8" borderId="82" xfId="6" applyFont="1" applyFill="1" applyBorder="1" applyAlignment="1">
      <alignment horizontal="right" vertical="top" wrapText="1" indent="1"/>
    </xf>
    <xf numFmtId="166" fontId="11" fillId="8" borderId="83" xfId="6" applyFont="1" applyFill="1" applyBorder="1" applyAlignment="1">
      <alignment horizontal="right" vertical="top" wrapText="1" indent="1"/>
    </xf>
    <xf numFmtId="166" fontId="11" fillId="8" borderId="168" xfId="6" applyFont="1" applyFill="1" applyBorder="1" applyAlignment="1">
      <alignment horizontal="right" vertical="top" wrapText="1" indent="1"/>
    </xf>
    <xf numFmtId="164" fontId="11" fillId="8" borderId="81" xfId="5" quotePrefix="1" applyNumberFormat="1" applyFont="1" applyFill="1" applyBorder="1" applyAlignment="1">
      <alignment horizontal="center" vertical="top"/>
    </xf>
    <xf numFmtId="175" fontId="11" fillId="8" borderId="28" xfId="6" applyNumberFormat="1" applyFont="1" applyFill="1" applyBorder="1" applyAlignment="1">
      <alignment horizontal="left"/>
    </xf>
    <xf numFmtId="176" fontId="11" fillId="8" borderId="28" xfId="5" applyNumberFormat="1" applyFont="1" applyFill="1" applyBorder="1" applyAlignment="1">
      <alignment horizontal="center"/>
    </xf>
    <xf numFmtId="164" fontId="11" fillId="8" borderId="56" xfId="5" applyNumberFormat="1" applyFont="1" applyFill="1" applyBorder="1" applyAlignment="1">
      <alignment horizontal="center" vertical="center"/>
    </xf>
    <xf numFmtId="164" fontId="11" fillId="8" borderId="61" xfId="5" applyNumberFormat="1" applyFont="1" applyFill="1" applyBorder="1" applyAlignment="1">
      <alignment horizontal="center" vertical="center"/>
    </xf>
    <xf numFmtId="164" fontId="11" fillId="8" borderId="14" xfId="5" applyNumberFormat="1" applyFont="1" applyFill="1" applyBorder="1" applyAlignment="1">
      <alignment horizontal="center" vertical="center"/>
    </xf>
    <xf numFmtId="164" fontId="11" fillId="8" borderId="30" xfId="5" applyNumberFormat="1" applyFont="1" applyFill="1" applyBorder="1" applyAlignment="1">
      <alignment horizontal="center" vertical="center"/>
    </xf>
    <xf numFmtId="164" fontId="11" fillId="8" borderId="14" xfId="5" applyNumberFormat="1" applyFont="1" applyFill="1" applyBorder="1" applyAlignment="1">
      <alignment horizontal="center" vertical="center" wrapText="1"/>
    </xf>
    <xf numFmtId="164" fontId="11" fillId="8" borderId="119" xfId="5" applyNumberFormat="1" applyFont="1" applyFill="1" applyBorder="1" applyAlignment="1">
      <alignment horizontal="center" vertical="center" wrapText="1"/>
    </xf>
    <xf numFmtId="164" fontId="11" fillId="8" borderId="3" xfId="5" applyNumberFormat="1" applyFont="1" applyFill="1" applyBorder="1" applyAlignment="1">
      <alignment horizontal="center" vertical="center" wrapText="1"/>
    </xf>
    <xf numFmtId="164" fontId="11" fillId="8" borderId="75" xfId="5" applyNumberFormat="1" applyFont="1" applyFill="1" applyBorder="1" applyAlignment="1">
      <alignment horizontal="center" vertical="center" wrapText="1"/>
    </xf>
    <xf numFmtId="164" fontId="11" fillId="8" borderId="115" xfId="5" applyNumberFormat="1" applyFont="1" applyFill="1" applyBorder="1" applyAlignment="1">
      <alignment horizontal="center" vertical="center" wrapText="1"/>
    </xf>
    <xf numFmtId="164" fontId="11" fillId="8" borderId="28" xfId="5" applyNumberFormat="1" applyFont="1" applyFill="1" applyBorder="1" applyAlignment="1">
      <alignment horizontal="center" vertical="center" wrapText="1"/>
    </xf>
    <xf numFmtId="164" fontId="11" fillId="8" borderId="116" xfId="5" applyNumberFormat="1" applyFont="1" applyFill="1" applyBorder="1" applyAlignment="1">
      <alignment horizontal="center" vertical="center" wrapText="1"/>
    </xf>
    <xf numFmtId="164" fontId="11" fillId="8" borderId="72" xfId="5" applyNumberFormat="1" applyFont="1" applyFill="1" applyBorder="1" applyAlignment="1">
      <alignment horizontal="center" vertical="center" wrapText="1"/>
    </xf>
    <xf numFmtId="164" fontId="11" fillId="8" borderId="33" xfId="5" applyNumberFormat="1" applyFont="1" applyFill="1" applyBorder="1" applyAlignment="1">
      <alignment horizontal="center" vertical="center"/>
    </xf>
    <xf numFmtId="0" fontId="13" fillId="8" borderId="0" xfId="5" applyFill="1" applyAlignment="1">
      <alignment horizontal="center"/>
    </xf>
    <xf numFmtId="164" fontId="24" fillId="14" borderId="221" xfId="5" applyNumberFormat="1" applyFont="1" applyFill="1" applyBorder="1" applyAlignment="1">
      <alignment horizontal="center" vertical="center"/>
    </xf>
    <xf numFmtId="164" fontId="24" fillId="14" borderId="222" xfId="5" applyNumberFormat="1" applyFont="1" applyFill="1" applyBorder="1" applyAlignment="1">
      <alignment horizontal="center" vertical="center"/>
    </xf>
    <xf numFmtId="164" fontId="24" fillId="14" borderId="234" xfId="5" applyNumberFormat="1" applyFont="1" applyFill="1" applyBorder="1" applyAlignment="1">
      <alignment horizontal="center" vertical="center"/>
    </xf>
    <xf numFmtId="164" fontId="24" fillId="14" borderId="174" xfId="5" applyNumberFormat="1" applyFont="1" applyFill="1" applyBorder="1" applyAlignment="1">
      <alignment horizontal="center" vertical="center"/>
    </xf>
    <xf numFmtId="164" fontId="24" fillId="14" borderId="235" xfId="5" applyNumberFormat="1" applyFont="1" applyFill="1" applyBorder="1" applyAlignment="1">
      <alignment horizontal="center" vertical="center"/>
    </xf>
    <xf numFmtId="166" fontId="11" fillId="8" borderId="111" xfId="6" applyFont="1" applyFill="1" applyBorder="1" applyAlignment="1">
      <alignment horizontal="right" vertical="top" wrapText="1" indent="1"/>
    </xf>
    <xf numFmtId="166" fontId="11" fillId="8" borderId="112" xfId="6" applyFont="1" applyFill="1" applyBorder="1" applyAlignment="1">
      <alignment horizontal="right" vertical="top" wrapText="1" indent="1"/>
    </xf>
    <xf numFmtId="166" fontId="11" fillId="8" borderId="157" xfId="6" applyFont="1" applyFill="1" applyBorder="1" applyAlignment="1">
      <alignment horizontal="right" vertical="top" wrapText="1" indent="1"/>
    </xf>
    <xf numFmtId="166" fontId="11" fillId="8" borderId="108" xfId="6" applyFont="1" applyFill="1" applyBorder="1" applyAlignment="1">
      <alignment horizontal="right" vertical="top" wrapText="1" indent="1"/>
    </xf>
    <xf numFmtId="166" fontId="11" fillId="8" borderId="109" xfId="6" applyFont="1" applyFill="1" applyBorder="1" applyAlignment="1">
      <alignment horizontal="right" vertical="top" wrapText="1" indent="1"/>
    </xf>
    <xf numFmtId="166" fontId="11" fillId="8" borderId="107" xfId="6" applyFont="1" applyFill="1" applyBorder="1" applyAlignment="1">
      <alignment horizontal="right" vertical="top" wrapText="1" indent="1"/>
    </xf>
    <xf numFmtId="164" fontId="24" fillId="14" borderId="223" xfId="5" applyNumberFormat="1" applyFont="1" applyFill="1" applyBorder="1" applyAlignment="1">
      <alignment horizontal="center" vertical="center"/>
    </xf>
    <xf numFmtId="164" fontId="11" fillId="8" borderId="58" xfId="5" applyNumberFormat="1" applyFont="1" applyFill="1" applyBorder="1" applyAlignment="1">
      <alignment horizontal="center" vertical="top" wrapText="1"/>
    </xf>
    <xf numFmtId="166" fontId="11" fillId="8" borderId="95" xfId="6" applyFont="1" applyFill="1" applyBorder="1" applyAlignment="1">
      <alignment horizontal="right" vertical="top" wrapText="1"/>
    </xf>
    <xf numFmtId="166" fontId="11" fillId="8" borderId="96" xfId="6" applyFont="1" applyFill="1" applyBorder="1" applyAlignment="1">
      <alignment horizontal="right" vertical="top" wrapText="1"/>
    </xf>
    <xf numFmtId="166" fontId="11" fillId="8" borderId="291" xfId="6" applyFont="1" applyFill="1" applyBorder="1" applyAlignment="1">
      <alignment horizontal="right" vertical="top" wrapText="1"/>
    </xf>
    <xf numFmtId="0" fontId="20" fillId="8" borderId="87" xfId="5" applyFont="1" applyFill="1" applyBorder="1" applyAlignment="1">
      <alignment horizontal="center" vertical="center"/>
    </xf>
    <xf numFmtId="0" fontId="20" fillId="8" borderId="107" xfId="5" applyFont="1" applyFill="1" applyBorder="1" applyAlignment="1">
      <alignment horizontal="center" vertical="center"/>
    </xf>
    <xf numFmtId="166" fontId="11" fillId="8" borderId="82" xfId="6" applyFont="1" applyFill="1" applyBorder="1" applyAlignment="1">
      <alignment horizontal="right" vertical="top" wrapText="1"/>
    </xf>
    <xf numFmtId="166" fontId="11" fillId="8" borderId="83" xfId="6" applyFont="1" applyFill="1" applyBorder="1" applyAlignment="1">
      <alignment horizontal="right" vertical="top" wrapText="1"/>
    </xf>
    <xf numFmtId="166" fontId="11" fillId="8" borderId="168" xfId="6" applyFont="1" applyFill="1" applyBorder="1" applyAlignment="1">
      <alignment horizontal="right" vertical="top" wrapText="1"/>
    </xf>
    <xf numFmtId="181" fontId="10" fillId="18" borderId="171" xfId="5" applyNumberFormat="1" applyFont="1" applyFill="1" applyBorder="1" applyAlignment="1">
      <alignment horizontal="center" vertical="center"/>
    </xf>
    <xf numFmtId="164" fontId="13" fillId="8" borderId="0" xfId="5" applyNumberFormat="1" applyFill="1" applyAlignment="1">
      <alignment horizontal="center"/>
    </xf>
    <xf numFmtId="164" fontId="11" fillId="12" borderId="0" xfId="5" applyNumberFormat="1" applyFont="1" applyFill="1" applyAlignment="1">
      <alignment horizontal="left" vertical="top" wrapText="1"/>
    </xf>
    <xf numFmtId="171" fontId="21" fillId="8" borderId="0" xfId="5" applyNumberFormat="1" applyFont="1" applyFill="1" applyAlignment="1">
      <alignment horizontal="center" vertical="center"/>
    </xf>
    <xf numFmtId="0" fontId="21" fillId="8" borderId="0" xfId="5" applyFont="1" applyFill="1" applyAlignment="1">
      <alignment horizontal="center" vertical="center"/>
    </xf>
    <xf numFmtId="0" fontId="25" fillId="8" borderId="263" xfId="5" quotePrefix="1" applyFont="1" applyFill="1" applyBorder="1" applyAlignment="1">
      <alignment vertical="center"/>
    </xf>
    <xf numFmtId="0" fontId="25" fillId="8" borderId="221" xfId="5" quotePrefix="1" applyFont="1" applyFill="1" applyBorder="1" applyAlignment="1">
      <alignment vertical="center"/>
    </xf>
    <xf numFmtId="0" fontId="25" fillId="8" borderId="250" xfId="5" quotePrefix="1" applyFont="1" applyFill="1" applyBorder="1" applyAlignment="1">
      <alignment vertical="center"/>
    </xf>
    <xf numFmtId="0" fontId="25" fillId="8" borderId="264" xfId="5" applyFont="1" applyFill="1" applyBorder="1" applyAlignment="1">
      <alignment vertical="center"/>
    </xf>
    <xf numFmtId="0" fontId="25" fillId="8" borderId="229" xfId="5" applyFont="1" applyFill="1" applyBorder="1" applyAlignment="1">
      <alignment vertical="center"/>
    </xf>
    <xf numFmtId="0" fontId="25" fillId="8" borderId="258" xfId="5" applyFont="1" applyFill="1" applyBorder="1" applyAlignment="1">
      <alignment vertical="center"/>
    </xf>
    <xf numFmtId="0" fontId="22" fillId="8" borderId="263" xfId="5" applyFont="1" applyFill="1" applyBorder="1" applyAlignment="1">
      <alignment horizontal="center" vertical="center"/>
    </xf>
    <xf numFmtId="0" fontId="22" fillId="8" borderId="221" xfId="5" applyFont="1" applyFill="1" applyBorder="1" applyAlignment="1">
      <alignment horizontal="center" vertical="center"/>
    </xf>
    <xf numFmtId="0" fontId="22" fillId="8" borderId="265" xfId="5" applyFont="1" applyFill="1" applyBorder="1" applyAlignment="1">
      <alignment horizontal="center" vertical="center"/>
    </xf>
    <xf numFmtId="0" fontId="22" fillId="8" borderId="264" xfId="5" applyFont="1" applyFill="1" applyBorder="1" applyAlignment="1">
      <alignment horizontal="center" vertical="center"/>
    </xf>
    <xf numFmtId="0" fontId="22" fillId="8" borderId="229" xfId="5" applyFont="1" applyFill="1" applyBorder="1" applyAlignment="1">
      <alignment horizontal="center" vertical="center"/>
    </xf>
    <xf numFmtId="0" fontId="22" fillId="8" borderId="258" xfId="5" applyFont="1" applyFill="1" applyBorder="1" applyAlignment="1">
      <alignment horizontal="center" vertical="center"/>
    </xf>
    <xf numFmtId="0" fontId="22" fillId="8" borderId="220" xfId="5" applyFont="1" applyFill="1" applyBorder="1" applyAlignment="1">
      <alignment horizontal="center" vertical="center"/>
    </xf>
    <xf numFmtId="0" fontId="22" fillId="8" borderId="255" xfId="5" applyFont="1" applyFill="1" applyBorder="1" applyAlignment="1">
      <alignment horizontal="center" vertical="center"/>
    </xf>
    <xf numFmtId="0" fontId="22" fillId="8" borderId="259" xfId="5" applyFont="1" applyFill="1" applyBorder="1" applyAlignment="1">
      <alignment horizontal="center" vertical="center" wrapText="1"/>
    </xf>
    <xf numFmtId="0" fontId="22" fillId="8" borderId="260" xfId="5" applyFont="1" applyFill="1" applyBorder="1" applyAlignment="1">
      <alignment horizontal="center" vertical="center"/>
    </xf>
    <xf numFmtId="0" fontId="22" fillId="8" borderId="250" xfId="5" applyFont="1" applyFill="1" applyBorder="1" applyAlignment="1">
      <alignment horizontal="center" vertical="center" wrapText="1"/>
    </xf>
    <xf numFmtId="0" fontId="22" fillId="8" borderId="194" xfId="5" applyFont="1" applyFill="1" applyBorder="1" applyAlignment="1">
      <alignment horizontal="center" vertical="center" wrapText="1"/>
    </xf>
    <xf numFmtId="171" fontId="24" fillId="8" borderId="0" xfId="5" applyNumberFormat="1" applyFont="1" applyFill="1" applyAlignment="1">
      <alignment horizontal="center" vertical="center"/>
    </xf>
    <xf numFmtId="171" fontId="22" fillId="8" borderId="91" xfId="5" applyNumberFormat="1" applyFont="1" applyFill="1" applyBorder="1" applyAlignment="1">
      <alignment horizontal="center" vertical="center"/>
    </xf>
    <xf numFmtId="171" fontId="22" fillId="8" borderId="70" xfId="5" applyNumberFormat="1" applyFont="1" applyFill="1" applyBorder="1" applyAlignment="1">
      <alignment horizontal="center" vertical="center"/>
    </xf>
    <xf numFmtId="171" fontId="22" fillId="8" borderId="0" xfId="5" applyNumberFormat="1" applyFont="1" applyFill="1" applyAlignment="1">
      <alignment horizontal="center" vertical="center"/>
    </xf>
    <xf numFmtId="0" fontId="22" fillId="8" borderId="91" xfId="5" applyFont="1" applyFill="1" applyBorder="1" applyAlignment="1">
      <alignment horizontal="center" vertical="center"/>
    </xf>
    <xf numFmtId="171" fontId="13" fillId="8" borderId="91" xfId="5" applyNumberFormat="1" applyFill="1" applyBorder="1" applyAlignment="1">
      <alignment horizontal="center" vertical="center"/>
    </xf>
    <xf numFmtId="172" fontId="13" fillId="8" borderId="0" xfId="5" applyNumberFormat="1" applyFill="1" applyAlignment="1">
      <alignment horizontal="center" vertical="center"/>
    </xf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left" vertical="center"/>
    </xf>
    <xf numFmtId="0" fontId="22" fillId="8" borderId="259" xfId="5" applyFont="1" applyFill="1" applyBorder="1" applyAlignment="1">
      <alignment horizontal="center" vertical="center"/>
    </xf>
    <xf numFmtId="0" fontId="22" fillId="8" borderId="257" xfId="5" applyFont="1" applyFill="1" applyBorder="1" applyAlignment="1">
      <alignment horizontal="center" vertical="center"/>
    </xf>
    <xf numFmtId="0" fontId="22" fillId="8" borderId="242" xfId="5" applyFont="1" applyFill="1" applyBorder="1" applyAlignment="1">
      <alignment horizontal="center" vertical="center"/>
    </xf>
    <xf numFmtId="166" fontId="22" fillId="8" borderId="256" xfId="1" applyFont="1" applyFill="1" applyBorder="1" applyAlignment="1">
      <alignment horizontal="center" vertical="center"/>
    </xf>
    <xf numFmtId="166" fontId="22" fillId="8" borderId="192" xfId="1" applyFont="1" applyFill="1" applyBorder="1" applyAlignment="1">
      <alignment horizontal="center" vertical="center"/>
    </xf>
    <xf numFmtId="166" fontId="22" fillId="8" borderId="261" xfId="1" applyFont="1" applyFill="1" applyBorder="1" applyAlignment="1">
      <alignment horizontal="center" vertical="center"/>
    </xf>
    <xf numFmtId="0" fontId="17" fillId="8" borderId="0" xfId="5" applyFont="1" applyFill="1" applyAlignment="1">
      <alignment horizontal="center" vertical="center"/>
    </xf>
    <xf numFmtId="0" fontId="26" fillId="8" borderId="85" xfId="5" applyFont="1" applyFill="1" applyBorder="1" applyAlignment="1">
      <alignment horizontal="center" vertical="center"/>
    </xf>
    <xf numFmtId="0" fontId="26" fillId="8" borderId="86" xfId="5" applyFont="1" applyFill="1" applyBorder="1" applyAlignment="1">
      <alignment horizontal="center" vertical="center"/>
    </xf>
    <xf numFmtId="0" fontId="26" fillId="8" borderId="87" xfId="5" applyFont="1" applyFill="1" applyBorder="1" applyAlignment="1">
      <alignment horizontal="center" vertical="center"/>
    </xf>
    <xf numFmtId="0" fontId="26" fillId="8" borderId="88" xfId="5" applyFont="1" applyFill="1" applyBorder="1" applyAlignment="1">
      <alignment horizontal="center" vertical="center"/>
    </xf>
    <xf numFmtId="0" fontId="26" fillId="8" borderId="90" xfId="5" applyFont="1" applyFill="1" applyBorder="1" applyAlignment="1">
      <alignment horizontal="center" vertical="center"/>
    </xf>
    <xf numFmtId="0" fontId="26" fillId="8" borderId="64" xfId="5" applyFont="1" applyFill="1" applyBorder="1" applyAlignment="1">
      <alignment horizontal="center" vertical="center"/>
    </xf>
    <xf numFmtId="0" fontId="26" fillId="8" borderId="80" xfId="5" applyFont="1" applyFill="1" applyBorder="1" applyAlignment="1">
      <alignment horizontal="center" vertical="center"/>
    </xf>
    <xf numFmtId="0" fontId="26" fillId="8" borderId="25" xfId="5" applyFont="1" applyFill="1" applyBorder="1" applyAlignment="1">
      <alignment horizontal="center" vertical="center"/>
    </xf>
    <xf numFmtId="0" fontId="26" fillId="8" borderId="76" xfId="5" applyFont="1" applyFill="1" applyBorder="1" applyAlignment="1">
      <alignment horizontal="center" vertical="center"/>
    </xf>
    <xf numFmtId="0" fontId="26" fillId="8" borderId="77" xfId="5" applyFont="1" applyFill="1" applyBorder="1" applyAlignment="1">
      <alignment horizontal="center" vertical="center"/>
    </xf>
    <xf numFmtId="0" fontId="26" fillId="8" borderId="78" xfId="5" applyFont="1" applyFill="1" applyBorder="1" applyAlignment="1">
      <alignment horizontal="center" vertical="center"/>
    </xf>
    <xf numFmtId="0" fontId="26" fillId="8" borderId="79" xfId="5" applyFont="1" applyFill="1" applyBorder="1" applyAlignment="1">
      <alignment horizontal="center" vertical="center"/>
    </xf>
    <xf numFmtId="0" fontId="26" fillId="8" borderId="58" xfId="5" applyFont="1" applyFill="1" applyBorder="1" applyAlignment="1">
      <alignment horizontal="center" vertical="center"/>
    </xf>
    <xf numFmtId="0" fontId="26" fillId="8" borderId="15" xfId="5" applyFont="1" applyFill="1" applyBorder="1" applyAlignment="1">
      <alignment horizontal="center" vertical="center"/>
    </xf>
    <xf numFmtId="0" fontId="26" fillId="8" borderId="82" xfId="5" applyFont="1" applyFill="1" applyBorder="1" applyAlignment="1">
      <alignment horizontal="center" vertical="center"/>
    </xf>
    <xf numFmtId="0" fontId="26" fillId="8" borderId="83" xfId="5" applyFont="1" applyFill="1" applyBorder="1" applyAlignment="1">
      <alignment horizontal="center" vertical="center"/>
    </xf>
    <xf numFmtId="0" fontId="26" fillId="8" borderId="84" xfId="5" applyFont="1" applyFill="1" applyBorder="1" applyAlignment="1">
      <alignment horizontal="center" vertical="center"/>
    </xf>
    <xf numFmtId="0" fontId="26" fillId="8" borderId="108" xfId="5" applyFont="1" applyFill="1" applyBorder="1" applyAlignment="1">
      <alignment horizontal="center" vertical="center"/>
    </xf>
    <xf numFmtId="0" fontId="26" fillId="8" borderId="109" xfId="5" applyFont="1" applyFill="1" applyBorder="1" applyAlignment="1">
      <alignment horizontal="center" vertical="center"/>
    </xf>
    <xf numFmtId="0" fontId="26" fillId="8" borderId="107" xfId="5" applyFont="1" applyFill="1" applyBorder="1" applyAlignment="1">
      <alignment horizontal="center" vertical="center"/>
    </xf>
    <xf numFmtId="0" fontId="24" fillId="8" borderId="95" xfId="5" applyFont="1" applyFill="1" applyBorder="1" applyAlignment="1">
      <alignment vertical="center"/>
    </xf>
    <xf numFmtId="0" fontId="24" fillId="8" borderId="97" xfId="5" applyFont="1" applyFill="1" applyBorder="1" applyAlignment="1">
      <alignment vertical="center"/>
    </xf>
    <xf numFmtId="0" fontId="24" fillId="8" borderId="108" xfId="5" applyFont="1" applyFill="1" applyBorder="1" applyAlignment="1">
      <alignment vertical="center"/>
    </xf>
    <xf numFmtId="0" fontId="24" fillId="8" borderId="110" xfId="5" applyFont="1" applyFill="1" applyBorder="1" applyAlignment="1">
      <alignment vertical="center"/>
    </xf>
    <xf numFmtId="0" fontId="24" fillId="8" borderId="96" xfId="5" applyFont="1" applyFill="1" applyBorder="1" applyAlignment="1">
      <alignment vertical="center"/>
    </xf>
    <xf numFmtId="169" fontId="22" fillId="8" borderId="98" xfId="5" applyNumberFormat="1" applyFont="1" applyFill="1" applyBorder="1" applyAlignment="1">
      <alignment horizontal="center" vertical="center"/>
    </xf>
    <xf numFmtId="0" fontId="22" fillId="8" borderId="73" xfId="5" applyFont="1" applyFill="1" applyBorder="1" applyAlignment="1">
      <alignment horizontal="center" vertical="center"/>
    </xf>
    <xf numFmtId="0" fontId="22" fillId="8" borderId="117" xfId="5" applyFont="1" applyFill="1" applyBorder="1" applyAlignment="1">
      <alignment horizontal="center" vertical="center"/>
    </xf>
    <xf numFmtId="0" fontId="24" fillId="8" borderId="103" xfId="5" applyFont="1" applyFill="1" applyBorder="1" applyAlignment="1">
      <alignment vertical="center"/>
    </xf>
    <xf numFmtId="0" fontId="24" fillId="8" borderId="104" xfId="5" applyFont="1" applyFill="1" applyBorder="1" applyAlignment="1">
      <alignment vertical="center"/>
    </xf>
    <xf numFmtId="0" fontId="24" fillId="8" borderId="105" xfId="5" applyFont="1" applyFill="1" applyBorder="1" applyAlignment="1">
      <alignment vertical="center"/>
    </xf>
    <xf numFmtId="0" fontId="24" fillId="8" borderId="109" xfId="5" applyFont="1" applyFill="1" applyBorder="1" applyAlignment="1">
      <alignment vertical="center"/>
    </xf>
    <xf numFmtId="0" fontId="24" fillId="8" borderId="130" xfId="5" applyFont="1" applyFill="1" applyBorder="1" applyAlignment="1">
      <alignment vertical="center"/>
    </xf>
    <xf numFmtId="0" fontId="24" fillId="8" borderId="131" xfId="5" applyFont="1" applyFill="1" applyBorder="1" applyAlignment="1">
      <alignment vertical="center"/>
    </xf>
    <xf numFmtId="169" fontId="22" fillId="8" borderId="73" xfId="5" applyNumberFormat="1" applyFont="1" applyFill="1" applyBorder="1" applyAlignment="1">
      <alignment horizontal="center" vertical="center"/>
    </xf>
    <xf numFmtId="169" fontId="22" fillId="8" borderId="117" xfId="5" applyNumberFormat="1" applyFont="1" applyFill="1" applyBorder="1" applyAlignment="1">
      <alignment horizontal="center" vertical="center"/>
    </xf>
    <xf numFmtId="169" fontId="24" fillId="8" borderId="23" xfId="5" applyNumberFormat="1" applyFont="1" applyFill="1" applyBorder="1" applyAlignment="1">
      <alignment horizontal="center" vertical="center"/>
    </xf>
    <xf numFmtId="169" fontId="24" fillId="8" borderId="15" xfId="5" applyNumberFormat="1" applyFont="1" applyFill="1" applyBorder="1" applyAlignment="1">
      <alignment horizontal="center" vertical="center"/>
    </xf>
    <xf numFmtId="0" fontId="17" fillId="8" borderId="58" xfId="5" applyFont="1" applyFill="1" applyBorder="1" applyAlignment="1">
      <alignment horizontal="center" vertical="center"/>
    </xf>
    <xf numFmtId="0" fontId="17" fillId="8" borderId="15" xfId="5" applyFont="1" applyFill="1" applyBorder="1" applyAlignment="1">
      <alignment horizontal="center" vertical="center"/>
    </xf>
    <xf numFmtId="0" fontId="17" fillId="8" borderId="80" xfId="5" applyFont="1" applyFill="1" applyBorder="1" applyAlignment="1">
      <alignment horizontal="center" vertical="center"/>
    </xf>
    <xf numFmtId="0" fontId="17" fillId="8" borderId="25" xfId="5" applyFont="1" applyFill="1" applyBorder="1" applyAlignment="1">
      <alignment horizontal="center" vertical="center"/>
    </xf>
    <xf numFmtId="0" fontId="24" fillId="8" borderId="132" xfId="5" applyFont="1" applyFill="1" applyBorder="1" applyAlignment="1">
      <alignment vertical="center"/>
    </xf>
    <xf numFmtId="0" fontId="24" fillId="8" borderId="133" xfId="5" applyFont="1" applyFill="1" applyBorder="1" applyAlignment="1">
      <alignment vertical="center"/>
    </xf>
    <xf numFmtId="0" fontId="24" fillId="8" borderId="137" xfId="5" applyFont="1" applyFill="1" applyBorder="1" applyAlignment="1">
      <alignment vertical="center"/>
    </xf>
    <xf numFmtId="0" fontId="24" fillId="8" borderId="138" xfId="5" applyFont="1" applyFill="1" applyBorder="1" applyAlignment="1">
      <alignment vertical="center"/>
    </xf>
    <xf numFmtId="0" fontId="24" fillId="8" borderId="134" xfId="5" applyFont="1" applyFill="1" applyBorder="1" applyAlignment="1">
      <alignment vertical="center"/>
    </xf>
    <xf numFmtId="0" fontId="24" fillId="8" borderId="135" xfId="5" applyFont="1" applyFill="1" applyBorder="1" applyAlignment="1">
      <alignment vertical="center"/>
    </xf>
    <xf numFmtId="0" fontId="24" fillId="8" borderId="28" xfId="5" applyFont="1" applyFill="1" applyBorder="1" applyAlignment="1">
      <alignment horizontal="right" vertical="center"/>
    </xf>
    <xf numFmtId="0" fontId="24" fillId="8" borderId="16" xfId="5" applyFont="1" applyFill="1" applyBorder="1" applyAlignment="1">
      <alignment vertical="center"/>
    </xf>
    <xf numFmtId="0" fontId="24" fillId="8" borderId="64" xfId="5" applyFont="1" applyFill="1" applyBorder="1" applyAlignment="1">
      <alignment vertical="center"/>
    </xf>
    <xf numFmtId="0" fontId="24" fillId="8" borderId="134" xfId="5" applyFont="1" applyFill="1" applyBorder="1" applyAlignment="1">
      <alignment horizontal="left" vertical="center"/>
    </xf>
    <xf numFmtId="0" fontId="24" fillId="8" borderId="135" xfId="5" applyFont="1" applyFill="1" applyBorder="1" applyAlignment="1">
      <alignment horizontal="left" vertical="center"/>
    </xf>
    <xf numFmtId="0" fontId="24" fillId="8" borderId="22" xfId="5" applyFont="1" applyFill="1" applyBorder="1" applyAlignment="1">
      <alignment vertical="center"/>
    </xf>
    <xf numFmtId="0" fontId="24" fillId="8" borderId="21" xfId="5" applyFont="1" applyFill="1" applyBorder="1" applyAlignment="1">
      <alignment vertical="center"/>
    </xf>
    <xf numFmtId="0" fontId="24" fillId="8" borderId="70" xfId="5" applyFont="1" applyFill="1" applyBorder="1" applyAlignment="1">
      <alignment vertical="center"/>
    </xf>
    <xf numFmtId="0" fontId="24" fillId="8" borderId="34" xfId="5" applyFont="1" applyFill="1" applyBorder="1" applyAlignment="1">
      <alignment horizontal="left" vertical="center"/>
    </xf>
    <xf numFmtId="0" fontId="24" fillId="8" borderId="91" xfId="5" applyFont="1" applyFill="1" applyBorder="1" applyAlignment="1">
      <alignment horizontal="left" vertical="center"/>
    </xf>
    <xf numFmtId="0" fontId="24" fillId="8" borderId="92" xfId="5" applyFont="1" applyFill="1" applyBorder="1" applyAlignment="1">
      <alignment horizontal="left" vertical="center"/>
    </xf>
    <xf numFmtId="0" fontId="17" fillId="8" borderId="86" xfId="5" applyFont="1" applyFill="1" applyBorder="1" applyAlignment="1">
      <alignment horizontal="center" vertical="center"/>
    </xf>
    <xf numFmtId="0" fontId="17" fillId="8" borderId="87" xfId="5" applyFont="1" applyFill="1" applyBorder="1" applyAlignment="1">
      <alignment horizontal="center" vertical="center"/>
    </xf>
    <xf numFmtId="0" fontId="17" fillId="8" borderId="88" xfId="5" applyFont="1" applyFill="1" applyBorder="1" applyAlignment="1">
      <alignment horizontal="center" vertical="center"/>
    </xf>
    <xf numFmtId="0" fontId="9" fillId="8" borderId="1" xfId="5" applyFont="1" applyFill="1" applyBorder="1" applyAlignment="1">
      <alignment horizontal="center" vertical="center" textRotation="90" wrapText="1"/>
    </xf>
    <xf numFmtId="0" fontId="9" fillId="8" borderId="3" xfId="5" applyFont="1" applyFill="1" applyBorder="1" applyAlignment="1">
      <alignment horizontal="center" vertical="center" textRotation="90" wrapText="1"/>
    </xf>
    <xf numFmtId="0" fontId="9" fillId="8" borderId="75" xfId="5" applyFont="1" applyFill="1" applyBorder="1" applyAlignment="1">
      <alignment horizontal="center" vertical="center" textRotation="90" wrapText="1"/>
    </xf>
    <xf numFmtId="0" fontId="9" fillId="8" borderId="20" xfId="5" applyFont="1" applyFill="1" applyBorder="1" applyAlignment="1">
      <alignment horizontal="center" vertical="center" textRotation="90" wrapText="1"/>
    </xf>
    <xf numFmtId="0" fontId="9" fillId="8" borderId="0" xfId="5" applyFont="1" applyFill="1" applyAlignment="1">
      <alignment horizontal="center" vertical="center" textRotation="90" wrapText="1"/>
    </xf>
    <xf numFmtId="0" fontId="9" fillId="8" borderId="71" xfId="5" applyFont="1" applyFill="1" applyBorder="1" applyAlignment="1">
      <alignment horizontal="center" vertical="center" textRotation="90" wrapText="1"/>
    </xf>
    <xf numFmtId="0" fontId="9" fillId="8" borderId="26" xfId="5" applyFont="1" applyFill="1" applyBorder="1" applyAlignment="1">
      <alignment horizontal="center" vertical="center" textRotation="90" wrapText="1"/>
    </xf>
    <xf numFmtId="0" fontId="9" fillId="8" borderId="28" xfId="5" applyFont="1" applyFill="1" applyBorder="1" applyAlignment="1">
      <alignment horizontal="center" vertical="center" textRotation="90" wrapText="1"/>
    </xf>
    <xf numFmtId="0" fontId="9" fillId="8" borderId="116" xfId="5" applyFont="1" applyFill="1" applyBorder="1" applyAlignment="1">
      <alignment horizontal="center" vertical="center" textRotation="90" wrapText="1"/>
    </xf>
    <xf numFmtId="0" fontId="9" fillId="8" borderId="81" xfId="5" applyFont="1" applyFill="1" applyBorder="1" applyAlignment="1">
      <alignment horizontal="center" vertical="center" textRotation="90" wrapText="1"/>
    </xf>
    <xf numFmtId="0" fontId="9" fillId="8" borderId="99" xfId="5" applyFont="1" applyFill="1" applyBorder="1" applyAlignment="1">
      <alignment horizontal="center" vertical="center" textRotation="90" wrapText="1"/>
    </xf>
    <xf numFmtId="0" fontId="9" fillId="8" borderId="118" xfId="5" applyFont="1" applyFill="1" applyBorder="1" applyAlignment="1">
      <alignment horizontal="center" vertical="center" textRotation="90" wrapText="1"/>
    </xf>
    <xf numFmtId="0" fontId="26" fillId="8" borderId="1" xfId="5" applyFont="1" applyFill="1" applyBorder="1" applyAlignment="1">
      <alignment horizontal="center" vertical="center" textRotation="90" wrapText="1"/>
    </xf>
    <xf numFmtId="0" fontId="26" fillId="8" borderId="3" xfId="5" applyFont="1" applyFill="1" applyBorder="1" applyAlignment="1">
      <alignment horizontal="center" vertical="center" textRotation="90" wrapText="1"/>
    </xf>
    <xf numFmtId="0" fontId="26" fillId="8" borderId="75" xfId="5" applyFont="1" applyFill="1" applyBorder="1" applyAlignment="1">
      <alignment horizontal="center" vertical="center" textRotation="90" wrapText="1"/>
    </xf>
    <xf numFmtId="0" fontId="26" fillId="8" borderId="20" xfId="5" applyFont="1" applyFill="1" applyBorder="1" applyAlignment="1">
      <alignment horizontal="center" vertical="center" textRotation="90" wrapText="1"/>
    </xf>
    <xf numFmtId="0" fontId="26" fillId="8" borderId="0" xfId="5" applyFont="1" applyFill="1" applyAlignment="1">
      <alignment horizontal="center" vertical="center" textRotation="90" wrapText="1"/>
    </xf>
    <xf numFmtId="0" fontId="26" fillId="8" borderId="71" xfId="5" applyFont="1" applyFill="1" applyBorder="1" applyAlignment="1">
      <alignment horizontal="center" vertical="center" textRotation="90" wrapText="1"/>
    </xf>
    <xf numFmtId="0" fontId="26" fillId="8" borderId="26" xfId="5" applyFont="1" applyFill="1" applyBorder="1" applyAlignment="1">
      <alignment horizontal="center" vertical="center" textRotation="90" wrapText="1"/>
    </xf>
    <xf numFmtId="0" fontId="26" fillId="8" borderId="28" xfId="5" applyFont="1" applyFill="1" applyBorder="1" applyAlignment="1">
      <alignment horizontal="center" vertical="center" textRotation="90" wrapText="1"/>
    </xf>
    <xf numFmtId="0" fontId="26" fillId="8" borderId="116" xfId="5" applyFont="1" applyFill="1" applyBorder="1" applyAlignment="1">
      <alignment horizontal="center" vertical="center" textRotation="90" wrapText="1"/>
    </xf>
    <xf numFmtId="0" fontId="24" fillId="8" borderId="22" xfId="5" applyFont="1" applyFill="1" applyBorder="1" applyAlignment="1">
      <alignment vertical="center" wrapText="1"/>
    </xf>
    <xf numFmtId="0" fontId="24" fillId="8" borderId="17" xfId="5" applyFont="1" applyFill="1" applyBorder="1" applyAlignment="1">
      <alignment vertical="center" wrapText="1"/>
    </xf>
    <xf numFmtId="0" fontId="24" fillId="8" borderId="21" xfId="5" applyFont="1" applyFill="1" applyBorder="1" applyAlignment="1">
      <alignment vertical="center" wrapText="1"/>
    </xf>
    <xf numFmtId="0" fontId="24" fillId="8" borderId="17" xfId="5" applyFont="1" applyFill="1" applyBorder="1" applyAlignment="1">
      <alignment vertical="center"/>
    </xf>
    <xf numFmtId="0" fontId="17" fillId="8" borderId="76" xfId="5" applyFont="1" applyFill="1" applyBorder="1" applyAlignment="1">
      <alignment horizontal="center" vertical="center"/>
    </xf>
    <xf numFmtId="0" fontId="17" fillId="8" borderId="77" xfId="5" applyFont="1" applyFill="1" applyBorder="1" applyAlignment="1">
      <alignment horizontal="center" vertical="center"/>
    </xf>
    <xf numFmtId="0" fontId="17" fillId="8" borderId="78" xfId="5" applyFont="1" applyFill="1" applyBorder="1" applyAlignment="1">
      <alignment horizontal="center" vertical="center"/>
    </xf>
    <xf numFmtId="0" fontId="17" fillId="8" borderId="79" xfId="5" applyFont="1" applyFill="1" applyBorder="1" applyAlignment="1">
      <alignment horizontal="center" vertical="center"/>
    </xf>
    <xf numFmtId="0" fontId="17" fillId="8" borderId="85" xfId="5" applyFont="1" applyFill="1" applyBorder="1" applyAlignment="1">
      <alignment horizontal="center" vertical="center"/>
    </xf>
    <xf numFmtId="0" fontId="26" fillId="8" borderId="48" xfId="5" applyFont="1" applyFill="1" applyBorder="1" applyAlignment="1">
      <alignment horizontal="center" vertical="center"/>
    </xf>
    <xf numFmtId="0" fontId="24" fillId="8" borderId="142" xfId="5" applyFont="1" applyFill="1" applyBorder="1" applyAlignment="1">
      <alignment vertical="center"/>
    </xf>
    <xf numFmtId="0" fontId="26" fillId="8" borderId="125" xfId="5" applyFont="1" applyFill="1" applyBorder="1" applyAlignment="1">
      <alignment horizontal="center" vertical="center"/>
    </xf>
    <xf numFmtId="0" fontId="26" fillId="8" borderId="126" xfId="5" applyFont="1" applyFill="1" applyBorder="1" applyAlignment="1">
      <alignment horizontal="center" vertical="center"/>
    </xf>
    <xf numFmtId="0" fontId="26" fillId="8" borderId="127" xfId="5" applyFont="1" applyFill="1" applyBorder="1" applyAlignment="1">
      <alignment horizontal="center" vertical="center"/>
    </xf>
    <xf numFmtId="0" fontId="26" fillId="8" borderId="124" xfId="5" applyFont="1" applyFill="1" applyBorder="1" applyAlignment="1">
      <alignment horizontal="center" vertical="center"/>
    </xf>
    <xf numFmtId="0" fontId="24" fillId="8" borderId="141" xfId="5" applyFont="1" applyFill="1" applyBorder="1" applyAlignment="1">
      <alignment vertical="center"/>
    </xf>
    <xf numFmtId="169" fontId="22" fillId="8" borderId="140" xfId="5" applyNumberFormat="1" applyFont="1" applyFill="1" applyBorder="1" applyAlignment="1">
      <alignment horizontal="center" vertical="center"/>
    </xf>
    <xf numFmtId="169" fontId="22" fillId="8" borderId="35" xfId="5" applyNumberFormat="1" applyFont="1" applyFill="1" applyBorder="1" applyAlignment="1">
      <alignment horizontal="center" vertical="center"/>
    </xf>
    <xf numFmtId="0" fontId="22" fillId="8" borderId="35" xfId="5" applyFont="1" applyFill="1" applyBorder="1" applyAlignment="1">
      <alignment horizontal="center" vertical="center"/>
    </xf>
    <xf numFmtId="0" fontId="22" fillId="8" borderId="129" xfId="5" applyFont="1" applyFill="1" applyBorder="1" applyAlignment="1">
      <alignment horizontal="center" vertical="center"/>
    </xf>
    <xf numFmtId="169" fontId="22" fillId="8" borderId="0" xfId="5" quotePrefix="1" applyNumberFormat="1" applyFont="1" applyFill="1" applyAlignment="1">
      <alignment horizontal="left" vertical="center" indent="2"/>
    </xf>
    <xf numFmtId="0" fontId="24" fillId="8" borderId="136" xfId="5" applyFont="1" applyFill="1" applyBorder="1" applyAlignment="1">
      <alignment vertical="center"/>
    </xf>
    <xf numFmtId="185" fontId="11" fillId="8" borderId="0" xfId="5" applyNumberFormat="1" applyFont="1" applyFill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6" fillId="8" borderId="114" xfId="0" applyFont="1" applyFill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8" borderId="191" xfId="0" applyFont="1" applyFill="1" applyBorder="1" applyAlignment="1">
      <alignment horizontal="center"/>
    </xf>
    <xf numFmtId="0" fontId="36" fillId="8" borderId="192" xfId="0" applyFont="1" applyFill="1" applyBorder="1" applyAlignment="1">
      <alignment horizontal="center"/>
    </xf>
    <xf numFmtId="0" fontId="36" fillId="8" borderId="193" xfId="0" applyFont="1" applyFill="1" applyBorder="1" applyAlignment="1">
      <alignment horizontal="center"/>
    </xf>
    <xf numFmtId="0" fontId="36" fillId="8" borderId="194" xfId="0" applyFont="1" applyFill="1" applyBorder="1" applyAlignment="1">
      <alignment horizontal="center"/>
    </xf>
    <xf numFmtId="0" fontId="38" fillId="8" borderId="58" xfId="5" applyFont="1" applyFill="1" applyBorder="1" applyAlignment="1">
      <alignment horizontal="center" vertical="center"/>
    </xf>
    <xf numFmtId="0" fontId="38" fillId="8" borderId="15" xfId="5" applyFont="1" applyFill="1" applyBorder="1" applyAlignment="1">
      <alignment horizontal="center" vertical="center"/>
    </xf>
    <xf numFmtId="0" fontId="38" fillId="8" borderId="80" xfId="5" applyFont="1" applyFill="1" applyBorder="1" applyAlignment="1">
      <alignment horizontal="center" vertical="center"/>
    </xf>
    <xf numFmtId="0" fontId="38" fillId="8" borderId="25" xfId="5" applyFont="1" applyFill="1" applyBorder="1" applyAlignment="1">
      <alignment horizontal="center" vertical="center"/>
    </xf>
    <xf numFmtId="169" fontId="17" fillId="8" borderId="98" xfId="5" applyNumberFormat="1" applyFont="1" applyFill="1" applyBorder="1" applyAlignment="1">
      <alignment horizontal="center" vertical="center"/>
    </xf>
    <xf numFmtId="0" fontId="17" fillId="8" borderId="73" xfId="5" applyFont="1" applyFill="1" applyBorder="1" applyAlignment="1">
      <alignment horizontal="center" vertical="center"/>
    </xf>
    <xf numFmtId="0" fontId="17" fillId="8" borderId="117" xfId="5" applyFont="1" applyFill="1" applyBorder="1" applyAlignment="1">
      <alignment horizontal="center" vertical="center"/>
    </xf>
    <xf numFmtId="169" fontId="17" fillId="8" borderId="73" xfId="5" applyNumberFormat="1" applyFont="1" applyFill="1" applyBorder="1" applyAlignment="1">
      <alignment horizontal="center" vertical="center"/>
    </xf>
    <xf numFmtId="169" fontId="17" fillId="8" borderId="117" xfId="5" applyNumberFormat="1" applyFont="1" applyFill="1" applyBorder="1" applyAlignment="1">
      <alignment horizontal="center" vertical="center"/>
    </xf>
    <xf numFmtId="169" fontId="17" fillId="8" borderId="23" xfId="5" applyNumberFormat="1" applyFont="1" applyFill="1" applyBorder="1" applyAlignment="1">
      <alignment horizontal="center" vertical="center"/>
    </xf>
    <xf numFmtId="169" fontId="17" fillId="8" borderId="15" xfId="5" applyNumberFormat="1" applyFont="1" applyFill="1" applyBorder="1" applyAlignment="1">
      <alignment horizontal="center" vertical="center"/>
    </xf>
    <xf numFmtId="0" fontId="41" fillId="8" borderId="1" xfId="5" applyFont="1" applyFill="1" applyBorder="1" applyAlignment="1">
      <alignment horizontal="center" vertical="center" textRotation="90" wrapText="1"/>
    </xf>
    <xf numFmtId="0" fontId="41" fillId="8" borderId="3" xfId="5" applyFont="1" applyFill="1" applyBorder="1" applyAlignment="1">
      <alignment horizontal="center" vertical="center" textRotation="90" wrapText="1"/>
    </xf>
    <xf numFmtId="0" fontId="41" fillId="8" borderId="75" xfId="5" applyFont="1" applyFill="1" applyBorder="1" applyAlignment="1">
      <alignment horizontal="center" vertical="center" textRotation="90" wrapText="1"/>
    </xf>
    <xf numFmtId="0" fontId="41" fillId="8" borderId="20" xfId="5" applyFont="1" applyFill="1" applyBorder="1" applyAlignment="1">
      <alignment horizontal="center" vertical="center" textRotation="90" wrapText="1"/>
    </xf>
    <xf numFmtId="0" fontId="41" fillId="8" borderId="0" xfId="5" applyFont="1" applyFill="1" applyAlignment="1">
      <alignment horizontal="center" vertical="center" textRotation="90" wrapText="1"/>
    </xf>
    <xf numFmtId="0" fontId="41" fillId="8" borderId="71" xfId="5" applyFont="1" applyFill="1" applyBorder="1" applyAlignment="1">
      <alignment horizontal="center" vertical="center" textRotation="90" wrapText="1"/>
    </xf>
    <xf numFmtId="0" fontId="41" fillId="8" borderId="26" xfId="5" applyFont="1" applyFill="1" applyBorder="1" applyAlignment="1">
      <alignment horizontal="center" vertical="center" textRotation="90" wrapText="1"/>
    </xf>
    <xf numFmtId="0" fontId="41" fillId="8" borderId="28" xfId="5" applyFont="1" applyFill="1" applyBorder="1" applyAlignment="1">
      <alignment horizontal="center" vertical="center" textRotation="90" wrapText="1"/>
    </xf>
    <xf numFmtId="0" fontId="41" fillId="8" borderId="116" xfId="5" applyFont="1" applyFill="1" applyBorder="1" applyAlignment="1">
      <alignment horizontal="center" vertical="center" textRotation="90" wrapText="1"/>
    </xf>
    <xf numFmtId="0" fontId="17" fillId="8" borderId="130" xfId="5" applyFont="1" applyFill="1" applyBorder="1" applyAlignment="1">
      <alignment vertical="center"/>
    </xf>
    <xf numFmtId="0" fontId="17" fillId="8" borderId="173" xfId="5" applyFont="1" applyFill="1" applyBorder="1" applyAlignment="1">
      <alignment vertical="center"/>
    </xf>
    <xf numFmtId="0" fontId="17" fillId="8" borderId="131" xfId="5" applyFont="1" applyFill="1" applyBorder="1" applyAlignment="1">
      <alignment vertical="center"/>
    </xf>
    <xf numFmtId="0" fontId="17" fillId="8" borderId="132" xfId="5" applyFont="1" applyFill="1" applyBorder="1" applyAlignment="1">
      <alignment vertical="center"/>
    </xf>
    <xf numFmtId="0" fontId="17" fillId="8" borderId="174" xfId="5" applyFont="1" applyFill="1" applyBorder="1" applyAlignment="1">
      <alignment vertical="center"/>
    </xf>
    <xf numFmtId="0" fontId="17" fillId="8" borderId="133" xfId="5" applyFont="1" applyFill="1" applyBorder="1" applyAlignment="1">
      <alignment vertical="center"/>
    </xf>
    <xf numFmtId="0" fontId="17" fillId="8" borderId="134" xfId="5" applyFont="1" applyFill="1" applyBorder="1" applyAlignment="1">
      <alignment vertical="center"/>
    </xf>
    <xf numFmtId="0" fontId="17" fillId="8" borderId="175" xfId="5" applyFont="1" applyFill="1" applyBorder="1" applyAlignment="1">
      <alignment vertical="center"/>
    </xf>
    <xf numFmtId="0" fontId="17" fillId="8" borderId="135" xfId="5" applyFont="1" applyFill="1" applyBorder="1" applyAlignment="1">
      <alignment vertical="center"/>
    </xf>
    <xf numFmtId="0" fontId="38" fillId="8" borderId="108" xfId="5" applyFont="1" applyFill="1" applyBorder="1" applyAlignment="1">
      <alignment horizontal="center" vertical="center"/>
    </xf>
    <xf numFmtId="0" fontId="38" fillId="8" borderId="109" xfId="5" applyFont="1" applyFill="1" applyBorder="1" applyAlignment="1">
      <alignment horizontal="center" vertical="center"/>
    </xf>
    <xf numFmtId="0" fontId="38" fillId="8" borderId="107" xfId="5" applyFont="1" applyFill="1" applyBorder="1" applyAlignment="1">
      <alignment horizontal="center" vertical="center"/>
    </xf>
    <xf numFmtId="0" fontId="38" fillId="8" borderId="90" xfId="5" applyFont="1" applyFill="1" applyBorder="1" applyAlignment="1">
      <alignment horizontal="center" vertical="center"/>
    </xf>
    <xf numFmtId="0" fontId="38" fillId="8" borderId="64" xfId="5" applyFont="1" applyFill="1" applyBorder="1" applyAlignment="1">
      <alignment horizontal="center" vertical="center"/>
    </xf>
    <xf numFmtId="0" fontId="17" fillId="8" borderId="134" xfId="5" applyFont="1" applyFill="1" applyBorder="1" applyAlignment="1">
      <alignment horizontal="left" vertical="center"/>
    </xf>
    <xf numFmtId="0" fontId="17" fillId="8" borderId="175" xfId="5" applyFont="1" applyFill="1" applyBorder="1" applyAlignment="1">
      <alignment horizontal="left" vertical="center"/>
    </xf>
    <xf numFmtId="0" fontId="17" fillId="8" borderId="135" xfId="5" applyFont="1" applyFill="1" applyBorder="1" applyAlignment="1">
      <alignment horizontal="left" vertical="center"/>
    </xf>
    <xf numFmtId="0" fontId="17" fillId="8" borderId="22" xfId="5" applyFont="1" applyFill="1" applyBorder="1" applyAlignment="1">
      <alignment vertical="center"/>
    </xf>
    <xf numFmtId="0" fontId="17" fillId="8" borderId="17" xfId="5" applyFont="1" applyFill="1" applyBorder="1" applyAlignment="1">
      <alignment vertical="center"/>
    </xf>
    <xf numFmtId="0" fontId="17" fillId="8" borderId="21" xfId="5" applyFont="1" applyFill="1" applyBorder="1" applyAlignment="1">
      <alignment vertical="center"/>
    </xf>
    <xf numFmtId="0" fontId="17" fillId="8" borderId="103" xfId="5" applyFont="1" applyFill="1" applyBorder="1" applyAlignment="1">
      <alignment vertical="center"/>
    </xf>
    <xf numFmtId="0" fontId="17" fillId="8" borderId="104" xfId="5" applyFont="1" applyFill="1" applyBorder="1" applyAlignment="1">
      <alignment vertical="center"/>
    </xf>
    <xf numFmtId="0" fontId="17" fillId="8" borderId="105" xfId="5" applyFont="1" applyFill="1" applyBorder="1" applyAlignment="1">
      <alignment vertical="center"/>
    </xf>
    <xf numFmtId="0" fontId="17" fillId="8" borderId="28" xfId="5" applyFont="1" applyFill="1" applyBorder="1" applyAlignment="1">
      <alignment horizontal="right" vertical="center"/>
    </xf>
    <xf numFmtId="0" fontId="38" fillId="8" borderId="82" xfId="5" applyFont="1" applyFill="1" applyBorder="1" applyAlignment="1">
      <alignment horizontal="center" vertical="center"/>
    </xf>
    <xf numFmtId="0" fontId="38" fillId="8" borderId="83" xfId="5" applyFont="1" applyFill="1" applyBorder="1" applyAlignment="1">
      <alignment horizontal="center" vertical="center"/>
    </xf>
    <xf numFmtId="0" fontId="38" fillId="8" borderId="84" xfId="5" applyFont="1" applyFill="1" applyBorder="1" applyAlignment="1">
      <alignment horizontal="center" vertical="center"/>
    </xf>
    <xf numFmtId="0" fontId="17" fillId="8" borderId="34" xfId="5" applyFont="1" applyFill="1" applyBorder="1" applyAlignment="1">
      <alignment horizontal="left" vertical="center"/>
    </xf>
    <xf numFmtId="0" fontId="17" fillId="8" borderId="91" xfId="5" applyFont="1" applyFill="1" applyBorder="1" applyAlignment="1">
      <alignment horizontal="left" vertical="center"/>
    </xf>
    <xf numFmtId="0" fontId="17" fillId="8" borderId="92" xfId="5" applyFont="1" applyFill="1" applyBorder="1" applyAlignment="1">
      <alignment horizontal="left" vertical="center"/>
    </xf>
    <xf numFmtId="0" fontId="17" fillId="8" borderId="108" xfId="5" applyFont="1" applyFill="1" applyBorder="1" applyAlignment="1">
      <alignment vertical="center"/>
    </xf>
    <xf numFmtId="0" fontId="17" fillId="8" borderId="109" xfId="5" applyFont="1" applyFill="1" applyBorder="1" applyAlignment="1">
      <alignment vertical="center"/>
    </xf>
    <xf numFmtId="0" fontId="17" fillId="8" borderId="110" xfId="5" applyFont="1" applyFill="1" applyBorder="1" applyAlignment="1">
      <alignment vertical="center"/>
    </xf>
    <xf numFmtId="0" fontId="38" fillId="8" borderId="76" xfId="5" applyFont="1" applyFill="1" applyBorder="1" applyAlignment="1">
      <alignment horizontal="center" vertical="center"/>
    </xf>
    <xf numFmtId="0" fontId="38" fillId="8" borderId="77" xfId="5" applyFont="1" applyFill="1" applyBorder="1" applyAlignment="1">
      <alignment horizontal="center" vertical="center"/>
    </xf>
    <xf numFmtId="0" fontId="38" fillId="8" borderId="78" xfId="5" applyFont="1" applyFill="1" applyBorder="1" applyAlignment="1">
      <alignment horizontal="center" vertical="center"/>
    </xf>
    <xf numFmtId="0" fontId="38" fillId="8" borderId="79" xfId="5" applyFont="1" applyFill="1" applyBorder="1" applyAlignment="1">
      <alignment horizontal="center" vertical="center"/>
    </xf>
    <xf numFmtId="0" fontId="17" fillId="8" borderId="95" xfId="5" applyFont="1" applyFill="1" applyBorder="1" applyAlignment="1">
      <alignment vertical="center"/>
    </xf>
    <xf numFmtId="0" fontId="17" fillId="8" borderId="96" xfId="5" applyFont="1" applyFill="1" applyBorder="1" applyAlignment="1">
      <alignment vertical="center"/>
    </xf>
    <xf numFmtId="0" fontId="17" fillId="8" borderId="97" xfId="5" applyFont="1" applyFill="1" applyBorder="1" applyAlignment="1">
      <alignment vertical="center"/>
    </xf>
    <xf numFmtId="0" fontId="38" fillId="8" borderId="85" xfId="5" applyFont="1" applyFill="1" applyBorder="1" applyAlignment="1">
      <alignment horizontal="center" vertical="center"/>
    </xf>
    <xf numFmtId="0" fontId="38" fillId="8" borderId="86" xfId="5" applyFont="1" applyFill="1" applyBorder="1" applyAlignment="1">
      <alignment horizontal="center" vertical="center"/>
    </xf>
    <xf numFmtId="0" fontId="38" fillId="8" borderId="87" xfId="5" applyFont="1" applyFill="1" applyBorder="1" applyAlignment="1">
      <alignment horizontal="center" vertical="center"/>
    </xf>
    <xf numFmtId="0" fontId="38" fillId="8" borderId="88" xfId="5" applyFont="1" applyFill="1" applyBorder="1" applyAlignment="1">
      <alignment horizontal="center" vertical="center"/>
    </xf>
    <xf numFmtId="0" fontId="17" fillId="8" borderId="16" xfId="5" applyFont="1" applyFill="1" applyBorder="1" applyAlignment="1">
      <alignment vertical="center"/>
    </xf>
    <xf numFmtId="0" fontId="17" fillId="8" borderId="70" xfId="5" applyFont="1" applyFill="1" applyBorder="1" applyAlignment="1">
      <alignment vertical="center"/>
    </xf>
    <xf numFmtId="0" fontId="17" fillId="8" borderId="64" xfId="5" applyFont="1" applyFill="1" applyBorder="1" applyAlignment="1">
      <alignment vertical="center"/>
    </xf>
    <xf numFmtId="0" fontId="17" fillId="8" borderId="22" xfId="5" applyFont="1" applyFill="1" applyBorder="1" applyAlignment="1">
      <alignment vertical="center" wrapText="1"/>
    </xf>
    <xf numFmtId="0" fontId="17" fillId="8" borderId="17" xfId="5" applyFont="1" applyFill="1" applyBorder="1" applyAlignment="1">
      <alignment vertical="center" wrapText="1"/>
    </xf>
    <xf numFmtId="0" fontId="17" fillId="8" borderId="21" xfId="5" applyFont="1" applyFill="1" applyBorder="1" applyAlignment="1">
      <alignment vertical="center" wrapText="1"/>
    </xf>
    <xf numFmtId="38" fontId="7" fillId="21" borderId="19" xfId="3" applyFont="1" applyFill="1" applyBorder="1" applyAlignment="1">
      <alignment horizontal="center" vertical="center"/>
    </xf>
    <xf numFmtId="180" fontId="7" fillId="21" borderId="30" xfId="3" quotePrefix="1" applyNumberFormat="1" applyFont="1" applyFill="1" applyBorder="1" applyAlignment="1">
      <alignment horizontal="center" vertical="center"/>
    </xf>
    <xf numFmtId="38" fontId="7" fillId="21" borderId="15" xfId="3" applyFont="1" applyFill="1" applyBorder="1" applyAlignment="1">
      <alignment horizontal="center" vertical="center"/>
    </xf>
    <xf numFmtId="38" fontId="7" fillId="21" borderId="70" xfId="3" applyFont="1" applyFill="1" applyBorder="1" applyAlignment="1">
      <alignment horizontal="center" vertical="center"/>
    </xf>
    <xf numFmtId="180" fontId="7" fillId="21" borderId="29" xfId="3" quotePrefix="1" applyNumberFormat="1" applyFont="1" applyFill="1" applyBorder="1" applyAlignment="1">
      <alignment horizontal="center" vertical="center"/>
    </xf>
  </cellXfs>
  <cellStyles count="9">
    <cellStyle name="Comma" xfId="1" builtinId="3"/>
    <cellStyle name="Comma [0] 2" xfId="3" xr:uid="{00000000-0005-0000-0000-000001000000}"/>
    <cellStyle name="Comma 2" xfId="6" xr:uid="{00000000-0005-0000-0000-000002000000}"/>
    <cellStyle name="Comma 2 2" xfId="8" xr:uid="{00000000-0005-0000-0000-000003000000}"/>
    <cellStyle name="Comma 3" xfId="7" xr:uid="{00000000-0005-0000-0000-000004000000}"/>
    <cellStyle name="Currency 2" xfId="4" xr:uid="{00000000-0005-0000-0000-000005000000}"/>
    <cellStyle name="Normal" xfId="0" builtinId="0"/>
    <cellStyle name="Normal 2" xfId="2" xr:uid="{00000000-0005-0000-0000-000007000000}"/>
    <cellStyle name="Normal 3" xfId="5" xr:uid="{00000000-0005-0000-0000-000008000000}"/>
  </cellStyles>
  <dxfs count="69"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1</xdr:row>
      <xdr:rowOff>18339</xdr:rowOff>
    </xdr:from>
    <xdr:ext cx="1381123" cy="61173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26" b="12605"/>
        <a:stretch>
          <a:fillRect/>
        </a:stretch>
      </xdr:blipFill>
      <xdr:spPr>
        <a:xfrm>
          <a:off x="95251" y="113589"/>
          <a:ext cx="1381123" cy="6117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0</xdr:row>
      <xdr:rowOff>108855</xdr:rowOff>
    </xdr:from>
    <xdr:ext cx="1228534" cy="6806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742951" y="10885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88447</xdr:colOff>
      <xdr:row>23</xdr:row>
      <xdr:rowOff>176890</xdr:rowOff>
    </xdr:from>
    <xdr:ext cx="1228534" cy="6806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783772" y="6091915"/>
          <a:ext cx="1228534" cy="680676"/>
        </a:xfrm>
        <a:prstGeom prst="rect">
          <a:avLst/>
        </a:prstGeom>
      </xdr:spPr>
    </xdr:pic>
    <xdr:clientData/>
  </xdr:oneCellAnchor>
  <xdr:twoCellAnchor>
    <xdr:from>
      <xdr:col>25</xdr:col>
      <xdr:colOff>250042</xdr:colOff>
      <xdr:row>25</xdr:row>
      <xdr:rowOff>197302</xdr:rowOff>
    </xdr:from>
    <xdr:to>
      <xdr:col>27</xdr:col>
      <xdr:colOff>241531</xdr:colOff>
      <xdr:row>28</xdr:row>
      <xdr:rowOff>74838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rot="16200000">
          <a:off x="17999706" y="6260138"/>
          <a:ext cx="649061" cy="1382139"/>
        </a:xfrm>
        <a:prstGeom prst="rightBrace">
          <a:avLst>
            <a:gd name="adj1" fmla="val 8333"/>
            <a:gd name="adj2" fmla="val 50294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88447</xdr:colOff>
      <xdr:row>46</xdr:row>
      <xdr:rowOff>176890</xdr:rowOff>
    </xdr:from>
    <xdr:ext cx="1228534" cy="680676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783772" y="12006940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17011</xdr:colOff>
      <xdr:row>69</xdr:row>
      <xdr:rowOff>81634</xdr:rowOff>
    </xdr:from>
    <xdr:ext cx="1228534" cy="68067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712336" y="17826709"/>
          <a:ext cx="1228534" cy="680676"/>
        </a:xfrm>
        <a:prstGeom prst="rect">
          <a:avLst/>
        </a:prstGeom>
      </xdr:spPr>
    </xdr:pic>
    <xdr:clientData/>
  </xdr:oneCellAnchor>
  <xdr:twoCellAnchor>
    <xdr:from>
      <xdr:col>23</xdr:col>
      <xdr:colOff>143900</xdr:colOff>
      <xdr:row>24</xdr:row>
      <xdr:rowOff>217033</xdr:rowOff>
    </xdr:from>
    <xdr:to>
      <xdr:col>29</xdr:col>
      <xdr:colOff>346305</xdr:colOff>
      <xdr:row>26</xdr:row>
      <xdr:rowOff>45245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681181" y="5539127"/>
          <a:ext cx="2559843" cy="280649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Estimated</a:t>
          </a:r>
          <a:r>
            <a:rPr lang="en-US" sz="1200" b="1" baseline="0"/>
            <a:t> Arrival J-Box Material</a:t>
          </a:r>
          <a:endParaRPr lang="en-US" sz="1200" b="1"/>
        </a:p>
      </xdr:txBody>
    </xdr:sp>
    <xdr:clientData/>
  </xdr:twoCellAnchor>
  <xdr:twoCellAnchor>
    <xdr:from>
      <xdr:col>26</xdr:col>
      <xdr:colOff>226217</xdr:colOff>
      <xdr:row>21</xdr:row>
      <xdr:rowOff>214313</xdr:rowOff>
    </xdr:from>
    <xdr:to>
      <xdr:col>29</xdr:col>
      <xdr:colOff>142873</xdr:colOff>
      <xdr:row>22</xdr:row>
      <xdr:rowOff>178594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3942217" y="4560094"/>
          <a:ext cx="1095375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30</xdr:col>
      <xdr:colOff>330992</xdr:colOff>
      <xdr:row>21</xdr:row>
      <xdr:rowOff>211931</xdr:rowOff>
    </xdr:from>
    <xdr:to>
      <xdr:col>33</xdr:col>
      <xdr:colOff>247648</xdr:colOff>
      <xdr:row>22</xdr:row>
      <xdr:rowOff>176212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5618617" y="4557712"/>
          <a:ext cx="1095375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35</xdr:col>
      <xdr:colOff>179782</xdr:colOff>
      <xdr:row>21</xdr:row>
      <xdr:rowOff>48816</xdr:rowOff>
    </xdr:from>
    <xdr:to>
      <xdr:col>36</xdr:col>
      <xdr:colOff>132156</xdr:colOff>
      <xdr:row>24</xdr:row>
      <xdr:rowOff>167878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8854810">
          <a:off x="17056891" y="4769644"/>
          <a:ext cx="1095375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39</xdr:col>
      <xdr:colOff>269080</xdr:colOff>
      <xdr:row>21</xdr:row>
      <xdr:rowOff>209549</xdr:rowOff>
    </xdr:from>
    <xdr:to>
      <xdr:col>42</xdr:col>
      <xdr:colOff>185736</xdr:colOff>
      <xdr:row>22</xdr:row>
      <xdr:rowOff>173830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9092861" y="4555330"/>
          <a:ext cx="1095375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0</xdr:row>
      <xdr:rowOff>108855</xdr:rowOff>
    </xdr:from>
    <xdr:ext cx="1228534" cy="6806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52401" y="10885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88447</xdr:colOff>
      <xdr:row>23</xdr:row>
      <xdr:rowOff>176890</xdr:rowOff>
    </xdr:from>
    <xdr:ext cx="1228534" cy="6806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5291815"/>
          <a:ext cx="1228534" cy="680676"/>
        </a:xfrm>
        <a:prstGeom prst="rect">
          <a:avLst/>
        </a:prstGeom>
      </xdr:spPr>
    </xdr:pic>
    <xdr:clientData/>
  </xdr:oneCellAnchor>
  <xdr:twoCellAnchor>
    <xdr:from>
      <xdr:col>25</xdr:col>
      <xdr:colOff>250042</xdr:colOff>
      <xdr:row>25</xdr:row>
      <xdr:rowOff>197302</xdr:rowOff>
    </xdr:from>
    <xdr:to>
      <xdr:col>27</xdr:col>
      <xdr:colOff>241531</xdr:colOff>
      <xdr:row>28</xdr:row>
      <xdr:rowOff>74838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rot="16200000">
          <a:off x="13767035" y="5551716"/>
          <a:ext cx="389504" cy="777301"/>
        </a:xfrm>
        <a:prstGeom prst="rightBrace">
          <a:avLst>
            <a:gd name="adj1" fmla="val 8333"/>
            <a:gd name="adj2" fmla="val 50294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88447</xdr:colOff>
      <xdr:row>46</xdr:row>
      <xdr:rowOff>176890</xdr:rowOff>
    </xdr:from>
    <xdr:ext cx="1228534" cy="680676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1129256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17011</xdr:colOff>
      <xdr:row>67</xdr:row>
      <xdr:rowOff>81634</xdr:rowOff>
    </xdr:from>
    <xdr:ext cx="1228534" cy="68067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21786" y="17159959"/>
          <a:ext cx="1228534" cy="680676"/>
        </a:xfrm>
        <a:prstGeom prst="rect">
          <a:avLst/>
        </a:prstGeom>
      </xdr:spPr>
    </xdr:pic>
    <xdr:clientData/>
  </xdr:oneCellAnchor>
  <xdr:twoCellAnchor>
    <xdr:from>
      <xdr:col>23</xdr:col>
      <xdr:colOff>227244</xdr:colOff>
      <xdr:row>25</xdr:row>
      <xdr:rowOff>14626</xdr:rowOff>
    </xdr:from>
    <xdr:to>
      <xdr:col>30</xdr:col>
      <xdr:colOff>36743</xdr:colOff>
      <xdr:row>26</xdr:row>
      <xdr:rowOff>69057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764525" y="5562939"/>
          <a:ext cx="2559843" cy="280649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Estimated</a:t>
          </a:r>
          <a:r>
            <a:rPr lang="en-US" sz="1200" b="1" baseline="0"/>
            <a:t> Arrival J-Box Material</a:t>
          </a:r>
          <a:endParaRPr lang="en-US" sz="1200" b="1"/>
        </a:p>
      </xdr:txBody>
    </xdr:sp>
    <xdr:clientData/>
  </xdr:twoCellAnchor>
  <xdr:twoCellAnchor>
    <xdr:from>
      <xdr:col>26</xdr:col>
      <xdr:colOff>226217</xdr:colOff>
      <xdr:row>21</xdr:row>
      <xdr:rowOff>214313</xdr:rowOff>
    </xdr:from>
    <xdr:to>
      <xdr:col>29</xdr:col>
      <xdr:colOff>142873</xdr:colOff>
      <xdr:row>22</xdr:row>
      <xdr:rowOff>178594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894592" y="4567238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30</xdr:col>
      <xdr:colOff>330992</xdr:colOff>
      <xdr:row>21</xdr:row>
      <xdr:rowOff>211931</xdr:rowOff>
    </xdr:from>
    <xdr:to>
      <xdr:col>33</xdr:col>
      <xdr:colOff>247648</xdr:colOff>
      <xdr:row>22</xdr:row>
      <xdr:rowOff>176212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561467" y="4564856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35</xdr:col>
      <xdr:colOff>179782</xdr:colOff>
      <xdr:row>21</xdr:row>
      <xdr:rowOff>48816</xdr:rowOff>
    </xdr:from>
    <xdr:to>
      <xdr:col>36</xdr:col>
      <xdr:colOff>132156</xdr:colOff>
      <xdr:row>24</xdr:row>
      <xdr:rowOff>167878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 rot="18854810">
          <a:off x="16989026" y="4775597"/>
          <a:ext cx="1090612" cy="3428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39</xdr:col>
      <xdr:colOff>269080</xdr:colOff>
      <xdr:row>21</xdr:row>
      <xdr:rowOff>209549</xdr:rowOff>
    </xdr:from>
    <xdr:to>
      <xdr:col>42</xdr:col>
      <xdr:colOff>185736</xdr:colOff>
      <xdr:row>22</xdr:row>
      <xdr:rowOff>173830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9014280" y="4562474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21</xdr:col>
      <xdr:colOff>137583</xdr:colOff>
      <xdr:row>44</xdr:row>
      <xdr:rowOff>285751</xdr:rowOff>
    </xdr:from>
    <xdr:to>
      <xdr:col>23</xdr:col>
      <xdr:colOff>137583</xdr:colOff>
      <xdr:row>45</xdr:row>
      <xdr:rowOff>137584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738908" y="10639426"/>
          <a:ext cx="781050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23</xdr:col>
      <xdr:colOff>332316</xdr:colOff>
      <xdr:row>45</xdr:row>
      <xdr:rowOff>311152</xdr:rowOff>
    </xdr:from>
    <xdr:to>
      <xdr:col>26</xdr:col>
      <xdr:colOff>52917</xdr:colOff>
      <xdr:row>48</xdr:row>
      <xdr:rowOff>10584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1714691" y="11045827"/>
          <a:ext cx="892176" cy="51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14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8466</xdr:colOff>
      <xdr:row>45</xdr:row>
      <xdr:rowOff>304802</xdr:rowOff>
    </xdr:from>
    <xdr:to>
      <xdr:col>29</xdr:col>
      <xdr:colOff>120650</xdr:colOff>
      <xdr:row>48</xdr:row>
      <xdr:rowOff>4234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2952941" y="11039477"/>
          <a:ext cx="893234" cy="51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11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33</xdr:col>
      <xdr:colOff>383117</xdr:colOff>
      <xdr:row>44</xdr:row>
      <xdr:rowOff>56360</xdr:rowOff>
    </xdr:from>
    <xdr:to>
      <xdr:col>36</xdr:col>
      <xdr:colOff>103718</xdr:colOff>
      <xdr:row>45</xdr:row>
      <xdr:rowOff>200292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5730273" y="10414798"/>
          <a:ext cx="899320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(21:00)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23548</xdr:colOff>
      <xdr:row>45</xdr:row>
      <xdr:rowOff>256384</xdr:rowOff>
    </xdr:from>
    <xdr:to>
      <xdr:col>36</xdr:col>
      <xdr:colOff>137056</xdr:colOff>
      <xdr:row>47</xdr:row>
      <xdr:rowOff>186004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5763611" y="10995822"/>
          <a:ext cx="899320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(21:00)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0</xdr:row>
      <xdr:rowOff>108855</xdr:rowOff>
    </xdr:from>
    <xdr:ext cx="1228534" cy="6806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52401" y="10885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88447</xdr:colOff>
      <xdr:row>23</xdr:row>
      <xdr:rowOff>176890</xdr:rowOff>
    </xdr:from>
    <xdr:ext cx="1228534" cy="6806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5291815"/>
          <a:ext cx="1228534" cy="680676"/>
        </a:xfrm>
        <a:prstGeom prst="rect">
          <a:avLst/>
        </a:prstGeom>
      </xdr:spPr>
    </xdr:pic>
    <xdr:clientData/>
  </xdr:oneCellAnchor>
  <xdr:twoCellAnchor>
    <xdr:from>
      <xdr:col>24</xdr:col>
      <xdr:colOff>175958</xdr:colOff>
      <xdr:row>28</xdr:row>
      <xdr:rowOff>212420</xdr:rowOff>
    </xdr:from>
    <xdr:to>
      <xdr:col>26</xdr:col>
      <xdr:colOff>169332</xdr:colOff>
      <xdr:row>30</xdr:row>
      <xdr:rowOff>10582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6200000" flipH="1">
          <a:off x="12248606" y="6036189"/>
          <a:ext cx="253245" cy="776541"/>
        </a:xfrm>
        <a:prstGeom prst="rightBrace">
          <a:avLst>
            <a:gd name="adj1" fmla="val 8333"/>
            <a:gd name="adj2" fmla="val 53026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88447</xdr:colOff>
      <xdr:row>46</xdr:row>
      <xdr:rowOff>176890</xdr:rowOff>
    </xdr:from>
    <xdr:ext cx="1228534" cy="680676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1129256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17011</xdr:colOff>
      <xdr:row>67</xdr:row>
      <xdr:rowOff>81634</xdr:rowOff>
    </xdr:from>
    <xdr:ext cx="1228534" cy="68067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21786" y="17159959"/>
          <a:ext cx="1228534" cy="680676"/>
        </a:xfrm>
        <a:prstGeom prst="rect">
          <a:avLst/>
        </a:prstGeom>
      </xdr:spPr>
    </xdr:pic>
    <xdr:clientData/>
  </xdr:oneCellAnchor>
  <xdr:twoCellAnchor>
    <xdr:from>
      <xdr:col>20</xdr:col>
      <xdr:colOff>55266</xdr:colOff>
      <xdr:row>37</xdr:row>
      <xdr:rowOff>379750</xdr:rowOff>
    </xdr:from>
    <xdr:to>
      <xdr:col>26</xdr:col>
      <xdr:colOff>257671</xdr:colOff>
      <xdr:row>39</xdr:row>
      <xdr:rowOff>109800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0294641" y="9559469"/>
          <a:ext cx="2559843" cy="515862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Preparation</a:t>
          </a:r>
          <a:r>
            <a:rPr lang="en-US" sz="1200" b="1" baseline="0"/>
            <a:t> - Laminating = 1 Shift</a:t>
          </a:r>
        </a:p>
        <a:p>
          <a:pPr algn="ctr"/>
          <a:r>
            <a:rPr lang="en-US" sz="1200" b="1"/>
            <a:t>Cutting Module - Packing = 2 Shift</a:t>
          </a:r>
        </a:p>
      </xdr:txBody>
    </xdr:sp>
    <xdr:clientData/>
  </xdr:twoCellAnchor>
  <xdr:twoCellAnchor>
    <xdr:from>
      <xdr:col>26</xdr:col>
      <xdr:colOff>226217</xdr:colOff>
      <xdr:row>21</xdr:row>
      <xdr:rowOff>214313</xdr:rowOff>
    </xdr:from>
    <xdr:to>
      <xdr:col>29</xdr:col>
      <xdr:colOff>142873</xdr:colOff>
      <xdr:row>22</xdr:row>
      <xdr:rowOff>178594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2780167" y="4567238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30</xdr:col>
      <xdr:colOff>330992</xdr:colOff>
      <xdr:row>21</xdr:row>
      <xdr:rowOff>211931</xdr:rowOff>
    </xdr:from>
    <xdr:to>
      <xdr:col>33</xdr:col>
      <xdr:colOff>247648</xdr:colOff>
      <xdr:row>22</xdr:row>
      <xdr:rowOff>176212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4447042" y="4564856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35</xdr:col>
      <xdr:colOff>179782</xdr:colOff>
      <xdr:row>21</xdr:row>
      <xdr:rowOff>48816</xdr:rowOff>
    </xdr:from>
    <xdr:to>
      <xdr:col>36</xdr:col>
      <xdr:colOff>132156</xdr:colOff>
      <xdr:row>24</xdr:row>
      <xdr:rowOff>167878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 rot="18854810">
          <a:off x="15874601" y="4775597"/>
          <a:ext cx="1090612" cy="3428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39</xdr:col>
      <xdr:colOff>269080</xdr:colOff>
      <xdr:row>21</xdr:row>
      <xdr:rowOff>209549</xdr:rowOff>
    </xdr:from>
    <xdr:to>
      <xdr:col>42</xdr:col>
      <xdr:colOff>185736</xdr:colOff>
      <xdr:row>22</xdr:row>
      <xdr:rowOff>173830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7899855" y="4562474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28</xdr:col>
      <xdr:colOff>248711</xdr:colOff>
      <xdr:row>32</xdr:row>
      <xdr:rowOff>255325</xdr:rowOff>
    </xdr:from>
    <xdr:to>
      <xdr:col>29</xdr:col>
      <xdr:colOff>238126</xdr:colOff>
      <xdr:row>34</xdr:row>
      <xdr:rowOff>309562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 rot="16200000" flipV="1">
          <a:off x="13414378" y="7735096"/>
          <a:ext cx="816237" cy="382321"/>
        </a:xfrm>
        <a:prstGeom prst="bentConnector3">
          <a:avLst>
            <a:gd name="adj1" fmla="val 50000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109771</xdr:colOff>
      <xdr:row>31</xdr:row>
      <xdr:rowOff>284427</xdr:rowOff>
    </xdr:from>
    <xdr:to>
      <xdr:col>31</xdr:col>
      <xdr:colOff>310853</xdr:colOff>
      <xdr:row>32</xdr:row>
      <xdr:rowOff>203993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12313677" y="7166240"/>
          <a:ext cx="2558520" cy="300566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J-BOX - Packing = 2 Shift</a:t>
          </a:r>
        </a:p>
      </xdr:txBody>
    </xdr:sp>
    <xdr:clientData/>
  </xdr:twoCellAnchor>
  <xdr:twoCellAnchor>
    <xdr:from>
      <xdr:col>22</xdr:col>
      <xdr:colOff>278046</xdr:colOff>
      <xdr:row>30</xdr:row>
      <xdr:rowOff>57150</xdr:rowOff>
    </xdr:from>
    <xdr:to>
      <xdr:col>29</xdr:col>
      <xdr:colOff>87544</xdr:colOff>
      <xdr:row>30</xdr:row>
      <xdr:rowOff>357716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1305879" y="6597650"/>
          <a:ext cx="2550582" cy="300566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Arrival</a:t>
          </a:r>
          <a:r>
            <a:rPr lang="en-US" sz="1200" b="1" baseline="0"/>
            <a:t> </a:t>
          </a:r>
          <a:r>
            <a:rPr lang="en-US" sz="1200" b="1"/>
            <a:t>J-Box Material</a:t>
          </a:r>
        </a:p>
      </xdr:txBody>
    </xdr:sp>
    <xdr:clientData/>
  </xdr:twoCellAnchor>
  <xdr:twoCellAnchor>
    <xdr:from>
      <xdr:col>26</xdr:col>
      <xdr:colOff>154781</xdr:colOff>
      <xdr:row>37</xdr:row>
      <xdr:rowOff>149493</xdr:rowOff>
    </xdr:from>
    <xdr:to>
      <xdr:col>28</xdr:col>
      <xdr:colOff>309565</xdr:colOff>
      <xdr:row>38</xdr:row>
      <xdr:rowOff>202407</xdr:rowOff>
    </xdr:to>
    <xdr:cxnSp macro="">
      <xdr:nvCxnSpPr>
        <xdr:cNvPr id="25" name="Elbow Connector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 rot="10800000" flipV="1">
          <a:off x="12751594" y="9329212"/>
          <a:ext cx="940596" cy="445820"/>
        </a:xfrm>
        <a:prstGeom prst="bentConnector3">
          <a:avLst>
            <a:gd name="adj1" fmla="val -633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137583</xdr:colOff>
      <xdr:row>44</xdr:row>
      <xdr:rowOff>285751</xdr:rowOff>
    </xdr:from>
    <xdr:to>
      <xdr:col>23</xdr:col>
      <xdr:colOff>137583</xdr:colOff>
      <xdr:row>45</xdr:row>
      <xdr:rowOff>137584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0738908" y="10639426"/>
          <a:ext cx="781050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33</xdr:col>
      <xdr:colOff>384439</xdr:colOff>
      <xdr:row>45</xdr:row>
      <xdr:rowOff>256121</xdr:rowOff>
    </xdr:from>
    <xdr:to>
      <xdr:col>36</xdr:col>
      <xdr:colOff>106364</xdr:colOff>
      <xdr:row>47</xdr:row>
      <xdr:rowOff>188386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15719689" y="11029954"/>
          <a:ext cx="896675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17 Mar (07:00)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41</xdr:col>
      <xdr:colOff>259292</xdr:colOff>
      <xdr:row>46</xdr:row>
      <xdr:rowOff>13496</xdr:rowOff>
    </xdr:from>
    <xdr:to>
      <xdr:col>43</xdr:col>
      <xdr:colOff>372799</xdr:colOff>
      <xdr:row>48</xdr:row>
      <xdr:rowOff>97897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8749698" y="11133934"/>
          <a:ext cx="899320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27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44</xdr:col>
      <xdr:colOff>256910</xdr:colOff>
      <xdr:row>45</xdr:row>
      <xdr:rowOff>368302</xdr:rowOff>
    </xdr:from>
    <xdr:to>
      <xdr:col>47</xdr:col>
      <xdr:colOff>120386</xdr:colOff>
      <xdr:row>48</xdr:row>
      <xdr:rowOff>71703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19926035" y="11107740"/>
          <a:ext cx="899320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27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39</xdr:col>
      <xdr:colOff>84667</xdr:colOff>
      <xdr:row>28</xdr:row>
      <xdr:rowOff>179916</xdr:rowOff>
    </xdr:from>
    <xdr:to>
      <xdr:col>39</xdr:col>
      <xdr:colOff>268552</xdr:colOff>
      <xdr:row>30</xdr:row>
      <xdr:rowOff>23812</xdr:rowOff>
    </xdr:to>
    <xdr:sp macro="" textlink="">
      <xdr:nvSpPr>
        <xdr:cNvPr id="30" name="Right Brac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 rot="16200000" flipH="1">
          <a:off x="17711870" y="6322880"/>
          <a:ext cx="298979" cy="183885"/>
        </a:xfrm>
        <a:prstGeom prst="rightBrace">
          <a:avLst>
            <a:gd name="adj1" fmla="val 8333"/>
            <a:gd name="adj2" fmla="val 53026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218513</xdr:colOff>
      <xdr:row>30</xdr:row>
      <xdr:rowOff>69056</xdr:rowOff>
    </xdr:from>
    <xdr:to>
      <xdr:col>42</xdr:col>
      <xdr:colOff>28012</xdr:colOff>
      <xdr:row>30</xdr:row>
      <xdr:rowOff>369622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6336930" y="6609556"/>
          <a:ext cx="2550582" cy="300566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Arrival</a:t>
          </a:r>
          <a:r>
            <a:rPr lang="en-US" sz="1200" b="1" baseline="0"/>
            <a:t> </a:t>
          </a:r>
          <a:r>
            <a:rPr lang="en-US" sz="1200" b="1"/>
            <a:t>J-Box Material</a:t>
          </a:r>
        </a:p>
      </xdr:txBody>
    </xdr:sp>
    <xdr:clientData/>
  </xdr:twoCellAnchor>
  <xdr:twoCellAnchor>
    <xdr:from>
      <xdr:col>33</xdr:col>
      <xdr:colOff>356923</xdr:colOff>
      <xdr:row>40</xdr:row>
      <xdr:rowOff>5296</xdr:rowOff>
    </xdr:from>
    <xdr:to>
      <xdr:col>36</xdr:col>
      <xdr:colOff>78848</xdr:colOff>
      <xdr:row>45</xdr:row>
      <xdr:rowOff>149228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5692173" y="10398129"/>
          <a:ext cx="896675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17 Mar (07:00)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346074</xdr:colOff>
      <xdr:row>44</xdr:row>
      <xdr:rowOff>288926</xdr:rowOff>
    </xdr:from>
    <xdr:to>
      <xdr:col>25</xdr:col>
      <xdr:colOff>346075</xdr:colOff>
      <xdr:row>45</xdr:row>
      <xdr:rowOff>140759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11765491" y="10681759"/>
          <a:ext cx="783167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27</xdr:col>
      <xdr:colOff>1058</xdr:colOff>
      <xdr:row>44</xdr:row>
      <xdr:rowOff>303743</xdr:rowOff>
    </xdr:from>
    <xdr:to>
      <xdr:col>29</xdr:col>
      <xdr:colOff>1058</xdr:colOff>
      <xdr:row>45</xdr:row>
      <xdr:rowOff>155576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2986808" y="10696576"/>
          <a:ext cx="783167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17</xdr:col>
      <xdr:colOff>81756</xdr:colOff>
      <xdr:row>66</xdr:row>
      <xdr:rowOff>317500</xdr:rowOff>
    </xdr:from>
    <xdr:to>
      <xdr:col>20</xdr:col>
      <xdr:colOff>21167</xdr:colOff>
      <xdr:row>68</xdr:row>
      <xdr:rowOff>10583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9151673" y="17070917"/>
          <a:ext cx="1114161" cy="4233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3 Apr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329406</xdr:colOff>
      <xdr:row>67</xdr:row>
      <xdr:rowOff>46566</xdr:rowOff>
    </xdr:from>
    <xdr:to>
      <xdr:col>28</xdr:col>
      <xdr:colOff>268817</xdr:colOff>
      <xdr:row>68</xdr:row>
      <xdr:rowOff>120649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12531989" y="17180983"/>
          <a:ext cx="1114161" cy="4233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11 Apr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361156</xdr:colOff>
      <xdr:row>65</xdr:row>
      <xdr:rowOff>194733</xdr:rowOff>
    </xdr:from>
    <xdr:to>
      <xdr:col>28</xdr:col>
      <xdr:colOff>300567</xdr:colOff>
      <xdr:row>66</xdr:row>
      <xdr:rowOff>237066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12563739" y="16567150"/>
          <a:ext cx="1114161" cy="4233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9 Apr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79640</xdr:colOff>
      <xdr:row>66</xdr:row>
      <xdr:rowOff>315383</xdr:rowOff>
    </xdr:from>
    <xdr:to>
      <xdr:col>34</xdr:col>
      <xdr:colOff>19051</xdr:colOff>
      <xdr:row>68</xdr:row>
      <xdr:rowOff>8466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14631723" y="17068800"/>
          <a:ext cx="1114161" cy="4233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17 Apr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41</xdr:col>
      <xdr:colOff>306123</xdr:colOff>
      <xdr:row>65</xdr:row>
      <xdr:rowOff>182033</xdr:rowOff>
    </xdr:from>
    <xdr:to>
      <xdr:col>44</xdr:col>
      <xdr:colOff>245534</xdr:colOff>
      <xdr:row>66</xdr:row>
      <xdr:rowOff>224366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18774040" y="16554450"/>
          <a:ext cx="1114161" cy="4233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25 Apr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0</xdr:row>
      <xdr:rowOff>108855</xdr:rowOff>
    </xdr:from>
    <xdr:ext cx="1228534" cy="6806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52401" y="10885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88447</xdr:colOff>
      <xdr:row>23</xdr:row>
      <xdr:rowOff>176890</xdr:rowOff>
    </xdr:from>
    <xdr:ext cx="1228534" cy="6806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5291815"/>
          <a:ext cx="1228534" cy="680676"/>
        </a:xfrm>
        <a:prstGeom prst="rect">
          <a:avLst/>
        </a:prstGeom>
      </xdr:spPr>
    </xdr:pic>
    <xdr:clientData/>
  </xdr:oneCellAnchor>
  <xdr:twoCellAnchor>
    <xdr:from>
      <xdr:col>24</xdr:col>
      <xdr:colOff>175958</xdr:colOff>
      <xdr:row>28</xdr:row>
      <xdr:rowOff>212420</xdr:rowOff>
    </xdr:from>
    <xdr:to>
      <xdr:col>26</xdr:col>
      <xdr:colOff>169332</xdr:colOff>
      <xdr:row>30</xdr:row>
      <xdr:rowOff>10582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16200000" flipH="1">
          <a:off x="12213151" y="6006027"/>
          <a:ext cx="245837" cy="774424"/>
        </a:xfrm>
        <a:prstGeom prst="rightBrace">
          <a:avLst>
            <a:gd name="adj1" fmla="val 8333"/>
            <a:gd name="adj2" fmla="val 53026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88447</xdr:colOff>
      <xdr:row>46</xdr:row>
      <xdr:rowOff>176890</xdr:rowOff>
    </xdr:from>
    <xdr:ext cx="1228534" cy="680676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1129256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17011</xdr:colOff>
      <xdr:row>67</xdr:row>
      <xdr:rowOff>81634</xdr:rowOff>
    </xdr:from>
    <xdr:ext cx="1228534" cy="68067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21786" y="17159959"/>
          <a:ext cx="1228534" cy="680676"/>
        </a:xfrm>
        <a:prstGeom prst="rect">
          <a:avLst/>
        </a:prstGeom>
      </xdr:spPr>
    </xdr:pic>
    <xdr:clientData/>
  </xdr:oneCellAnchor>
  <xdr:twoCellAnchor>
    <xdr:from>
      <xdr:col>20</xdr:col>
      <xdr:colOff>233860</xdr:colOff>
      <xdr:row>38</xdr:row>
      <xdr:rowOff>189250</xdr:rowOff>
    </xdr:from>
    <xdr:to>
      <xdr:col>27</xdr:col>
      <xdr:colOff>43359</xdr:colOff>
      <xdr:row>39</xdr:row>
      <xdr:rowOff>312206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444660" y="9761875"/>
          <a:ext cx="2543174" cy="513481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Preparation</a:t>
          </a:r>
          <a:r>
            <a:rPr lang="en-US" sz="1200" b="1" baseline="0"/>
            <a:t> - Laminating = 1 Shift</a:t>
          </a:r>
        </a:p>
        <a:p>
          <a:pPr algn="ctr"/>
          <a:r>
            <a:rPr lang="en-US" sz="1200" b="1"/>
            <a:t>Cutting Module - Packing = 2 Shift</a:t>
          </a:r>
        </a:p>
      </xdr:txBody>
    </xdr:sp>
    <xdr:clientData/>
  </xdr:twoCellAnchor>
  <xdr:twoCellAnchor>
    <xdr:from>
      <xdr:col>26</xdr:col>
      <xdr:colOff>226217</xdr:colOff>
      <xdr:row>21</xdr:row>
      <xdr:rowOff>214313</xdr:rowOff>
    </xdr:from>
    <xdr:to>
      <xdr:col>29</xdr:col>
      <xdr:colOff>142873</xdr:colOff>
      <xdr:row>22</xdr:row>
      <xdr:rowOff>178594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2780167" y="4567238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30</xdr:col>
      <xdr:colOff>330992</xdr:colOff>
      <xdr:row>21</xdr:row>
      <xdr:rowOff>211931</xdr:rowOff>
    </xdr:from>
    <xdr:to>
      <xdr:col>33</xdr:col>
      <xdr:colOff>247648</xdr:colOff>
      <xdr:row>22</xdr:row>
      <xdr:rowOff>176212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4447042" y="4564856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35</xdr:col>
      <xdr:colOff>179782</xdr:colOff>
      <xdr:row>21</xdr:row>
      <xdr:rowOff>48816</xdr:rowOff>
    </xdr:from>
    <xdr:to>
      <xdr:col>36</xdr:col>
      <xdr:colOff>132156</xdr:colOff>
      <xdr:row>24</xdr:row>
      <xdr:rowOff>167878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18854810">
          <a:off x="15874601" y="4775597"/>
          <a:ext cx="1090612" cy="3428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39</xdr:col>
      <xdr:colOff>269080</xdr:colOff>
      <xdr:row>21</xdr:row>
      <xdr:rowOff>209549</xdr:rowOff>
    </xdr:from>
    <xdr:to>
      <xdr:col>42</xdr:col>
      <xdr:colOff>185736</xdr:colOff>
      <xdr:row>22</xdr:row>
      <xdr:rowOff>173830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7899855" y="4562474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28</xdr:col>
      <xdr:colOff>238126</xdr:colOff>
      <xdr:row>33</xdr:row>
      <xdr:rowOff>226218</xdr:rowOff>
    </xdr:from>
    <xdr:to>
      <xdr:col>29</xdr:col>
      <xdr:colOff>238128</xdr:colOff>
      <xdr:row>34</xdr:row>
      <xdr:rowOff>309563</xdr:rowOff>
    </xdr:to>
    <xdr:cxnSp macro="">
      <xdr:nvCxnSpPr>
        <xdr:cNvPr id="12" name="Elb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 rot="16200000" flipV="1">
          <a:off x="13536217" y="7911702"/>
          <a:ext cx="464345" cy="390527"/>
        </a:xfrm>
        <a:prstGeom prst="bentConnector3">
          <a:avLst>
            <a:gd name="adj1" fmla="val 50000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14520</xdr:colOff>
      <xdr:row>32</xdr:row>
      <xdr:rowOff>284427</xdr:rowOff>
    </xdr:from>
    <xdr:to>
      <xdr:col>31</xdr:col>
      <xdr:colOff>23813</xdr:colOff>
      <xdr:row>33</xdr:row>
      <xdr:rowOff>203993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2568470" y="7552002"/>
          <a:ext cx="1961918" cy="300566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J-BOX - Packing = 2 Shift</a:t>
          </a:r>
        </a:p>
      </xdr:txBody>
    </xdr:sp>
    <xdr:clientData/>
  </xdr:twoCellAnchor>
  <xdr:twoCellAnchor>
    <xdr:from>
      <xdr:col>22</xdr:col>
      <xdr:colOff>278046</xdr:colOff>
      <xdr:row>30</xdr:row>
      <xdr:rowOff>57150</xdr:rowOff>
    </xdr:from>
    <xdr:to>
      <xdr:col>29</xdr:col>
      <xdr:colOff>87544</xdr:colOff>
      <xdr:row>30</xdr:row>
      <xdr:rowOff>357716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1269896" y="6562725"/>
          <a:ext cx="2543173" cy="300566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Arrival</a:t>
          </a:r>
          <a:r>
            <a:rPr lang="en-US" sz="1200" b="1" baseline="0"/>
            <a:t> </a:t>
          </a:r>
          <a:r>
            <a:rPr lang="en-US" sz="1200" b="1"/>
            <a:t>J-Box Material</a:t>
          </a:r>
        </a:p>
      </xdr:txBody>
    </xdr:sp>
    <xdr:clientData/>
  </xdr:twoCellAnchor>
  <xdr:twoCellAnchor>
    <xdr:from>
      <xdr:col>27</xdr:col>
      <xdr:colOff>83344</xdr:colOff>
      <xdr:row>38</xdr:row>
      <xdr:rowOff>18524</xdr:rowOff>
    </xdr:from>
    <xdr:to>
      <xdr:col>29</xdr:col>
      <xdr:colOff>238128</xdr:colOff>
      <xdr:row>39</xdr:row>
      <xdr:rowOff>71438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rot="10800000" flipV="1">
          <a:off x="13027819" y="9591149"/>
          <a:ext cx="935834" cy="443439"/>
        </a:xfrm>
        <a:prstGeom prst="bentConnector3">
          <a:avLst>
            <a:gd name="adj1" fmla="val -633"/>
          </a:avLst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137583</xdr:colOff>
      <xdr:row>44</xdr:row>
      <xdr:rowOff>285751</xdr:rowOff>
    </xdr:from>
    <xdr:to>
      <xdr:col>23</xdr:col>
      <xdr:colOff>137583</xdr:colOff>
      <xdr:row>45</xdr:row>
      <xdr:rowOff>137584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0738908" y="10639426"/>
          <a:ext cx="781050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23</xdr:col>
      <xdr:colOff>332316</xdr:colOff>
      <xdr:row>45</xdr:row>
      <xdr:rowOff>311152</xdr:rowOff>
    </xdr:from>
    <xdr:to>
      <xdr:col>26</xdr:col>
      <xdr:colOff>52917</xdr:colOff>
      <xdr:row>48</xdr:row>
      <xdr:rowOff>10584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1714691" y="11045827"/>
          <a:ext cx="892176" cy="51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14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14023</xdr:colOff>
      <xdr:row>44</xdr:row>
      <xdr:rowOff>44454</xdr:rowOff>
    </xdr:from>
    <xdr:to>
      <xdr:col>36</xdr:col>
      <xdr:colOff>127531</xdr:colOff>
      <xdr:row>45</xdr:row>
      <xdr:rowOff>188386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5692173" y="10398129"/>
          <a:ext cx="894558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(20:00)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23548</xdr:colOff>
      <xdr:row>45</xdr:row>
      <xdr:rowOff>256384</xdr:rowOff>
    </xdr:from>
    <xdr:to>
      <xdr:col>36</xdr:col>
      <xdr:colOff>137056</xdr:colOff>
      <xdr:row>47</xdr:row>
      <xdr:rowOff>186004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5701698" y="10991059"/>
          <a:ext cx="894558" cy="5201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(20:00)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44</xdr:col>
      <xdr:colOff>195792</xdr:colOff>
      <xdr:row>45</xdr:row>
      <xdr:rowOff>373329</xdr:rowOff>
    </xdr:from>
    <xdr:to>
      <xdr:col>47</xdr:col>
      <xdr:colOff>65882</xdr:colOff>
      <xdr:row>48</xdr:row>
      <xdr:rowOff>76730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9779192" y="11108004"/>
          <a:ext cx="898790" cy="5225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30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23812</xdr:colOff>
      <xdr:row>44</xdr:row>
      <xdr:rowOff>273843</xdr:rowOff>
    </xdr:from>
    <xdr:to>
      <xdr:col>29</xdr:col>
      <xdr:colOff>285750</xdr:colOff>
      <xdr:row>45</xdr:row>
      <xdr:rowOff>154780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2968287" y="10627518"/>
          <a:ext cx="1042988" cy="2619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41</xdr:col>
      <xdr:colOff>281781</xdr:colOff>
      <xdr:row>45</xdr:row>
      <xdr:rowOff>360101</xdr:rowOff>
    </xdr:from>
    <xdr:to>
      <xdr:col>44</xdr:col>
      <xdr:colOff>3704</xdr:colOff>
      <xdr:row>48</xdr:row>
      <xdr:rowOff>63502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8693606" y="11094776"/>
          <a:ext cx="893498" cy="5225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27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38101</xdr:rowOff>
    </xdr:from>
    <xdr:to>
      <xdr:col>5</xdr:col>
      <xdr:colOff>361269</xdr:colOff>
      <xdr:row>4</xdr:row>
      <xdr:rowOff>39875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44"/>
        <a:stretch/>
      </xdr:blipFill>
      <xdr:spPr>
        <a:xfrm>
          <a:off x="176214" y="38101"/>
          <a:ext cx="1081087" cy="592324"/>
        </a:xfrm>
        <a:prstGeom prst="rect">
          <a:avLst/>
        </a:prstGeom>
      </xdr:spPr>
    </xdr:pic>
    <xdr:clientData/>
  </xdr:twoCellAnchor>
  <xdr:twoCellAnchor editAs="oneCell">
    <xdr:from>
      <xdr:col>24</xdr:col>
      <xdr:colOff>54428</xdr:colOff>
      <xdr:row>1</xdr:row>
      <xdr:rowOff>40820</xdr:rowOff>
    </xdr:from>
    <xdr:to>
      <xdr:col>25</xdr:col>
      <xdr:colOff>571499</xdr:colOff>
      <xdr:row>4</xdr:row>
      <xdr:rowOff>2289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44"/>
        <a:stretch/>
      </xdr:blipFill>
      <xdr:spPr>
        <a:xfrm>
          <a:off x="16342178" y="95249"/>
          <a:ext cx="911679" cy="505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0</xdr:row>
      <xdr:rowOff>108855</xdr:rowOff>
    </xdr:from>
    <xdr:ext cx="1228534" cy="6806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52401" y="10885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88447</xdr:colOff>
      <xdr:row>23</xdr:row>
      <xdr:rowOff>176890</xdr:rowOff>
    </xdr:from>
    <xdr:ext cx="1228534" cy="68067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5291815"/>
          <a:ext cx="1228534" cy="680676"/>
        </a:xfrm>
        <a:prstGeom prst="rect">
          <a:avLst/>
        </a:prstGeom>
      </xdr:spPr>
    </xdr:pic>
    <xdr:clientData/>
  </xdr:oneCellAnchor>
  <xdr:twoCellAnchor>
    <xdr:from>
      <xdr:col>25</xdr:col>
      <xdr:colOff>250042</xdr:colOff>
      <xdr:row>25</xdr:row>
      <xdr:rowOff>197302</xdr:rowOff>
    </xdr:from>
    <xdr:to>
      <xdr:col>27</xdr:col>
      <xdr:colOff>241531</xdr:colOff>
      <xdr:row>28</xdr:row>
      <xdr:rowOff>74838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16200000">
          <a:off x="12608556" y="5555288"/>
          <a:ext cx="382361" cy="772539"/>
        </a:xfrm>
        <a:prstGeom prst="rightBrace">
          <a:avLst>
            <a:gd name="adj1" fmla="val 8333"/>
            <a:gd name="adj2" fmla="val 50294"/>
          </a:avLst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88447</xdr:colOff>
      <xdr:row>46</xdr:row>
      <xdr:rowOff>176890</xdr:rowOff>
    </xdr:from>
    <xdr:ext cx="1228534" cy="680676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93222" y="11292565"/>
          <a:ext cx="1228534" cy="680676"/>
        </a:xfrm>
        <a:prstGeom prst="rect">
          <a:avLst/>
        </a:prstGeom>
      </xdr:spPr>
    </xdr:pic>
    <xdr:clientData/>
  </xdr:oneCellAnchor>
  <xdr:oneCellAnchor>
    <xdr:from>
      <xdr:col>1</xdr:col>
      <xdr:colOff>17011</xdr:colOff>
      <xdr:row>67</xdr:row>
      <xdr:rowOff>81634</xdr:rowOff>
    </xdr:from>
    <xdr:ext cx="1228534" cy="68067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55"/>
        <a:stretch/>
      </xdr:blipFill>
      <xdr:spPr>
        <a:xfrm>
          <a:off x="121786" y="17159959"/>
          <a:ext cx="1228534" cy="680676"/>
        </a:xfrm>
        <a:prstGeom prst="rect">
          <a:avLst/>
        </a:prstGeom>
      </xdr:spPr>
    </xdr:pic>
    <xdr:clientData/>
  </xdr:oneCellAnchor>
  <xdr:twoCellAnchor>
    <xdr:from>
      <xdr:col>23</xdr:col>
      <xdr:colOff>227244</xdr:colOff>
      <xdr:row>25</xdr:row>
      <xdr:rowOff>14626</xdr:rowOff>
    </xdr:from>
    <xdr:to>
      <xdr:col>30</xdr:col>
      <xdr:colOff>36743</xdr:colOff>
      <xdr:row>26</xdr:row>
      <xdr:rowOff>69057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1609619" y="5567701"/>
          <a:ext cx="2543174" cy="283031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Estimated</a:t>
          </a:r>
          <a:r>
            <a:rPr lang="en-US" sz="1200" b="1" baseline="0"/>
            <a:t> Arrival J-Box Material</a:t>
          </a:r>
          <a:endParaRPr lang="en-US" sz="1200" b="1"/>
        </a:p>
      </xdr:txBody>
    </xdr:sp>
    <xdr:clientData/>
  </xdr:twoCellAnchor>
  <xdr:twoCellAnchor>
    <xdr:from>
      <xdr:col>26</xdr:col>
      <xdr:colOff>226217</xdr:colOff>
      <xdr:row>21</xdr:row>
      <xdr:rowOff>214313</xdr:rowOff>
    </xdr:from>
    <xdr:to>
      <xdr:col>29</xdr:col>
      <xdr:colOff>142873</xdr:colOff>
      <xdr:row>22</xdr:row>
      <xdr:rowOff>178594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780167" y="4567238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30</xdr:col>
      <xdr:colOff>330992</xdr:colOff>
      <xdr:row>21</xdr:row>
      <xdr:rowOff>211931</xdr:rowOff>
    </xdr:from>
    <xdr:to>
      <xdr:col>33</xdr:col>
      <xdr:colOff>247648</xdr:colOff>
      <xdr:row>22</xdr:row>
      <xdr:rowOff>176212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4447042" y="4564856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35</xdr:col>
      <xdr:colOff>179782</xdr:colOff>
      <xdr:row>21</xdr:row>
      <xdr:rowOff>48816</xdr:rowOff>
    </xdr:from>
    <xdr:to>
      <xdr:col>36</xdr:col>
      <xdr:colOff>132156</xdr:colOff>
      <xdr:row>24</xdr:row>
      <xdr:rowOff>167878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8854810">
          <a:off x="15874601" y="4775597"/>
          <a:ext cx="1090612" cy="3428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39</xdr:col>
      <xdr:colOff>269080</xdr:colOff>
      <xdr:row>21</xdr:row>
      <xdr:rowOff>209549</xdr:rowOff>
    </xdr:from>
    <xdr:to>
      <xdr:col>42</xdr:col>
      <xdr:colOff>185736</xdr:colOff>
      <xdr:row>22</xdr:row>
      <xdr:rowOff>173830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7899855" y="4562474"/>
          <a:ext cx="1088231" cy="3452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21</xdr:col>
      <xdr:colOff>137583</xdr:colOff>
      <xdr:row>44</xdr:row>
      <xdr:rowOff>285751</xdr:rowOff>
    </xdr:from>
    <xdr:to>
      <xdr:col>23</xdr:col>
      <xdr:colOff>137583</xdr:colOff>
      <xdr:row>45</xdr:row>
      <xdr:rowOff>137584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0738908" y="10639426"/>
          <a:ext cx="781050" cy="232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n>
                <a:noFill/>
              </a:ln>
              <a:solidFill>
                <a:srgbClr val="FF0000"/>
              </a:solidFill>
            </a:rPr>
            <a:t>DONE</a:t>
          </a:r>
        </a:p>
      </xdr:txBody>
    </xdr:sp>
    <xdr:clientData/>
  </xdr:twoCellAnchor>
  <xdr:twoCellAnchor>
    <xdr:from>
      <xdr:col>23</xdr:col>
      <xdr:colOff>332316</xdr:colOff>
      <xdr:row>45</xdr:row>
      <xdr:rowOff>311152</xdr:rowOff>
    </xdr:from>
    <xdr:to>
      <xdr:col>26</xdr:col>
      <xdr:colOff>52917</xdr:colOff>
      <xdr:row>48</xdr:row>
      <xdr:rowOff>10584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1714691" y="11045827"/>
          <a:ext cx="892176" cy="51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14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8466</xdr:colOff>
      <xdr:row>45</xdr:row>
      <xdr:rowOff>304802</xdr:rowOff>
    </xdr:from>
    <xdr:to>
      <xdr:col>29</xdr:col>
      <xdr:colOff>120650</xdr:colOff>
      <xdr:row>48</xdr:row>
      <xdr:rowOff>4234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12952941" y="11039477"/>
          <a:ext cx="893234" cy="5185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11 Mar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33</xdr:col>
      <xdr:colOff>383117</xdr:colOff>
      <xdr:row>44</xdr:row>
      <xdr:rowOff>56360</xdr:rowOff>
    </xdr:from>
    <xdr:to>
      <xdr:col>36</xdr:col>
      <xdr:colOff>103718</xdr:colOff>
      <xdr:row>45</xdr:row>
      <xdr:rowOff>200292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5670742" y="10410035"/>
          <a:ext cx="892176" cy="52493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(21:00)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23548</xdr:colOff>
      <xdr:row>45</xdr:row>
      <xdr:rowOff>256384</xdr:rowOff>
    </xdr:from>
    <xdr:to>
      <xdr:col>36</xdr:col>
      <xdr:colOff>137056</xdr:colOff>
      <xdr:row>47</xdr:row>
      <xdr:rowOff>186004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15701698" y="10991059"/>
          <a:ext cx="894558" cy="5201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n>
                <a:noFill/>
              </a:ln>
              <a:solidFill>
                <a:srgbClr val="FF0000"/>
              </a:solidFill>
            </a:rPr>
            <a:t>Pick</a:t>
          </a:r>
          <a:r>
            <a:rPr lang="en-US" sz="1100" b="1" baseline="0">
              <a:ln>
                <a:noFill/>
              </a:ln>
              <a:solidFill>
                <a:srgbClr val="FF0000"/>
              </a:solidFill>
            </a:rPr>
            <a:t> Up, 16 Mar (21:00)</a:t>
          </a:r>
          <a:endParaRPr lang="en-US" sz="1100" b="1">
            <a:ln>
              <a:noFill/>
            </a:ln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22226</xdr:rowOff>
    </xdr:from>
    <xdr:to>
      <xdr:col>4</xdr:col>
      <xdr:colOff>262</xdr:colOff>
      <xdr:row>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44"/>
        <a:stretch/>
      </xdr:blipFill>
      <xdr:spPr>
        <a:xfrm>
          <a:off x="365125" y="276226"/>
          <a:ext cx="1444887" cy="7715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ca\2005\Mei\My%20Documents\P%20D%20C%20A\A%20M%20S\My%20Documents\bahan%20buku\form-p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CA%20NOV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Andes%20And%20Associates\1.%20Human%20Capital%20Management%20System\5.%20Position%20Management\1.%20Kejar\Pica\2005\Mei\My%20Documents\P%20D%20C%20A\A%20M%20S\F.%20HELEN%20S\Marketing%20Division\HSO%20Mkt%20Data%201998\In%20use\McForecast%20(SF-XI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ca\2005\Mei\My%20Documents\P%20D%20C%20A\A%20M%20S\F.%20HELEN%20S\Marketing%20Division\HSO%20Mkt%20Data%201998\In%20use\McForecast%20(SF-XI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y\rfy-cbp\ISO%209001\Dok%20Cat%20Mutu\Report\Man%20Power%20RO%20ACC\My%20Documents\Copy%20of%20MP%20RO%20Jan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Andes%20And%20Associates\1.%20Human%20Capital%20Management%20System\5.%20Position%20Management\1.%20Kejar\PICA%20NOV%20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Data%20PPIC%20(New)\6.Master%20Production%20Schedule%20(MPS)\2026\Valterra%20Schedule%20&amp;%20Salary%20Payment_2502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 OD"/>
      <sheetName val="CR&amp;OD"/>
      <sheetName val="GS"/>
      <sheetName val="Rekap_LHP_OKT'05"/>
      <sheetName val="NM.1"/>
      <sheetName val="NM.2"/>
      <sheetName val="NM4"/>
      <sheetName val="NM5"/>
      <sheetName val="NM.6.1"/>
      <sheetName val="SD.1"/>
      <sheetName val="SD.1.1"/>
      <sheetName val="SD.2"/>
      <sheetName val="SD.3"/>
      <sheetName val="SD.3.1"/>
      <sheetName val="SD.5.1"/>
      <sheetName val="SD.6"/>
      <sheetName val="PLAN VS ACTUAL"/>
      <sheetName val="OR"/>
      <sheetName val="acc"/>
      <sheetName val="ACC DETIL"/>
      <sheetName val="acc perwilayah"/>
      <sheetName val="pemakaian gs"/>
      <sheetName val="percustomer"/>
      <sheetName val="OR.2"/>
      <sheetName val="OKT"/>
      <sheetName val="Kondisi Kend"/>
      <sheetName val="Layanan ASA"/>
      <sheetName val="Total VOC"/>
      <sheetName val="open"/>
      <sheetName val="progress"/>
      <sheetName val="closed"/>
      <sheetName val="call ctr"/>
      <sheetName val="dept awd"/>
      <sheetName val="pw dept awd"/>
      <sheetName val="Analisa FUDO Oktober"/>
      <sheetName val="Analisa FUAS"/>
      <sheetName val="ocean voyage"/>
      <sheetName val="2002"/>
      <sheetName val="OPR-99"/>
      <sheetName val="PRA JUNI "/>
      <sheetName val="G&amp;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8">
          <cell r="A8" t="str">
            <v>Marcomm</v>
          </cell>
        </row>
        <row r="24">
          <cell r="A24" t="str">
            <v>OD</v>
          </cell>
        </row>
        <row r="40">
          <cell r="A40" t="str">
            <v xml:space="preserve">Operation </v>
          </cell>
        </row>
        <row r="61">
          <cell r="A61" t="str">
            <v>HRD</v>
          </cell>
        </row>
        <row r="82">
          <cell r="A82" t="str">
            <v>GA</v>
          </cell>
        </row>
        <row r="102">
          <cell r="A102" t="str">
            <v>Legal</v>
          </cell>
        </row>
        <row r="120">
          <cell r="A120" t="str">
            <v>DMS</v>
          </cell>
        </row>
        <row r="135">
          <cell r="A135" t="str">
            <v>Finance &amp; Accounting</v>
          </cell>
        </row>
        <row r="153">
          <cell r="A153" t="str">
            <v>Asset</v>
          </cell>
        </row>
        <row r="171">
          <cell r="A171" t="str">
            <v>IT</v>
          </cell>
        </row>
        <row r="189">
          <cell r="A189" t="str">
            <v>Marketing</v>
          </cell>
        </row>
        <row r="208">
          <cell r="A208" t="str">
            <v>Logistic</v>
          </cell>
        </row>
        <row r="223">
          <cell r="A223" t="str">
            <v>Autorent</v>
          </cell>
        </row>
        <row r="243">
          <cell r="A243" t="str">
            <v>Sekretaris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>
        <row r="8">
          <cell r="A8" t="str">
            <v>2376 &amp; 2377</v>
          </cell>
        </row>
      </sheetData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pw dept awd"/>
      <sheetName val="??????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??????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I@"/>
      <sheetName val="JATIM@"/>
      <sheetName val="JABAR@"/>
      <sheetName val="AREA"/>
      <sheetName val="INTIM@"/>
      <sheetName val="JATENG@"/>
      <sheetName val="SMR@"/>
      <sheetName val="JATENG X"/>
      <sheetName val="sumatera"/>
      <sheetName val="intim"/>
      <sheetName val="JATIM"/>
      <sheetName val="OPR-99"/>
      <sheetName val="OPR_99"/>
      <sheetName val="pw dept awd"/>
      <sheetName val="2002"/>
      <sheetName val="PRA JUNI "/>
      <sheetName val="①　BP vs SPR (TTL Impact)"/>
      <sheetName val="tabel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PABRIK (2)"/>
      <sheetName val="LIST"/>
      <sheetName val="Penyusutan Inventaris"/>
      <sheetName val="Penyusutan Kendaraan"/>
      <sheetName val="Upah SKUB"/>
      <sheetName val="P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 OD"/>
      <sheetName val="CR&amp;OD"/>
      <sheetName val="GS"/>
      <sheetName val="Rekap_LHP_OKT'05"/>
      <sheetName val="NM.1"/>
      <sheetName val="NM.2"/>
      <sheetName val="NM4"/>
      <sheetName val="NM5"/>
      <sheetName val="NM.6.1"/>
      <sheetName val="SD.1"/>
      <sheetName val="SD.1.1"/>
      <sheetName val="SD.2"/>
      <sheetName val="SD.3"/>
      <sheetName val="SD.3.1"/>
      <sheetName val="SD.5.1"/>
      <sheetName val="SD.6"/>
      <sheetName val="PLAN VS ACTUAL"/>
      <sheetName val="OR"/>
      <sheetName val="acc"/>
      <sheetName val="ACC DETIL"/>
      <sheetName val="acc perwilayah"/>
      <sheetName val="pemakaian gs"/>
      <sheetName val="percustomer"/>
      <sheetName val="OR.2"/>
      <sheetName val="OKT"/>
      <sheetName val="Kondisi Kend"/>
      <sheetName val="Layanan ASA"/>
      <sheetName val="Total VOC"/>
      <sheetName val="open"/>
      <sheetName val="progress"/>
      <sheetName val="closed"/>
      <sheetName val="call ctr"/>
      <sheetName val="dept awd"/>
      <sheetName val="pw dept awd"/>
      <sheetName val="Analisa FUDO Oktober"/>
      <sheetName val="Analisa FUAS"/>
      <sheetName val="2002"/>
      <sheetName val="OPR-99"/>
      <sheetName val="ocean voyage"/>
      <sheetName val="RCCP FLEXIBEL 100 Wp "/>
      <sheetName val="material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8">
          <cell r="A8" t="str">
            <v>Marcomm</v>
          </cell>
        </row>
        <row r="40">
          <cell r="A40" t="str">
            <v xml:space="preserve">Operation 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terra 20 Feb (3)"/>
      <sheetName val="Schedule Production"/>
      <sheetName val="Man Power"/>
      <sheetName val="Planning Man Power"/>
    </sheetNames>
    <sheetDataSet>
      <sheetData sheetId="0" refreshError="1"/>
      <sheetData sheetId="1" refreshError="1"/>
      <sheetData sheetId="2">
        <row r="43">
          <cell r="U43">
            <v>18660599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I182"/>
  <sheetViews>
    <sheetView zoomScale="70" zoomScaleNormal="70" workbookViewId="0">
      <pane xSplit="9" ySplit="7" topLeftCell="AT8" activePane="bottomRight" state="frozen"/>
      <selection pane="topRight" activeCell="J1" sqref="J1"/>
      <selection pane="bottomLeft" activeCell="A8" sqref="A8"/>
      <selection pane="bottomRight" activeCell="BF27" sqref="BF27"/>
    </sheetView>
  </sheetViews>
  <sheetFormatPr defaultRowHeight="15"/>
  <cols>
    <col min="1" max="1" width="1.08203125" style="245" customWidth="1"/>
    <col min="2" max="2" width="2.75" style="591" customWidth="1"/>
    <col min="3" max="3" width="6.5" style="591" customWidth="1"/>
    <col min="4" max="4" width="4.25" style="591" bestFit="1" customWidth="1"/>
    <col min="5" max="5" width="6.1640625" style="591" customWidth="1"/>
    <col min="6" max="6" width="6.4140625" style="591" bestFit="1" customWidth="1"/>
    <col min="7" max="7" width="6.75" style="591" customWidth="1"/>
    <col min="8" max="8" width="1.83203125" style="591" customWidth="1"/>
    <col min="9" max="9" width="1.08203125" style="591" customWidth="1"/>
    <col min="10" max="45" width="1.1640625" style="591" hidden="1" customWidth="1"/>
    <col min="46" max="113" width="1.1640625" style="591" customWidth="1"/>
    <col min="114" max="16384" width="8.6640625" style="591"/>
  </cols>
  <sheetData>
    <row r="1" spans="2:113" s="245" customFormat="1" ht="8.1" customHeight="1">
      <c r="B1" s="126"/>
      <c r="C1" s="126"/>
      <c r="F1" s="126"/>
      <c r="H1" s="126"/>
      <c r="I1" s="126"/>
    </row>
    <row r="2" spans="2:113" s="245" customFormat="1" ht="24.75" customHeight="1">
      <c r="B2" s="126"/>
      <c r="C2" s="126"/>
      <c r="E2" s="589" t="s">
        <v>288</v>
      </c>
      <c r="F2" s="590"/>
      <c r="H2" s="126"/>
      <c r="I2" s="126"/>
    </row>
    <row r="3" spans="2:113" s="245" customFormat="1" ht="24.75" customHeight="1">
      <c r="B3" s="126"/>
      <c r="C3" s="126"/>
      <c r="E3" s="247" t="s">
        <v>289</v>
      </c>
      <c r="F3" s="590"/>
      <c r="H3" s="126"/>
      <c r="I3" s="126"/>
    </row>
    <row r="4" spans="2:113" s="245" customFormat="1" ht="8.1" customHeight="1" thickBot="1">
      <c r="B4" s="126"/>
      <c r="C4" s="126"/>
      <c r="F4" s="126"/>
      <c r="H4" s="126"/>
      <c r="I4" s="126"/>
    </row>
    <row r="5" spans="2:113" ht="20.25" customHeight="1">
      <c r="B5" s="736" t="s">
        <v>290</v>
      </c>
      <c r="C5" s="737"/>
      <c r="D5" s="737"/>
      <c r="E5" s="737"/>
      <c r="F5" s="737"/>
      <c r="G5" s="737"/>
      <c r="H5" s="737"/>
      <c r="I5" s="738"/>
      <c r="J5" s="660"/>
      <c r="K5" s="660"/>
      <c r="L5" s="660"/>
      <c r="M5" s="660"/>
      <c r="N5" s="660"/>
      <c r="O5" s="660"/>
      <c r="P5" s="660"/>
      <c r="Q5" s="660"/>
      <c r="R5" s="660"/>
      <c r="S5" s="660"/>
      <c r="T5" s="660"/>
      <c r="U5" s="660"/>
      <c r="V5" s="660"/>
      <c r="W5" s="660"/>
      <c r="X5" s="660"/>
      <c r="Y5" s="660"/>
      <c r="Z5" s="660"/>
      <c r="AA5" s="660"/>
      <c r="AB5" s="660"/>
      <c r="AC5" s="660"/>
      <c r="AD5" s="660"/>
      <c r="AE5" s="660"/>
      <c r="AF5" s="660"/>
      <c r="AG5" s="660"/>
      <c r="AH5" s="660"/>
      <c r="AI5" s="660"/>
      <c r="AJ5" s="660"/>
      <c r="AK5" s="660"/>
      <c r="AL5" s="660"/>
      <c r="AM5" s="660"/>
      <c r="AN5" s="660"/>
      <c r="AO5" s="660"/>
      <c r="AP5" s="660"/>
      <c r="AQ5" s="660"/>
      <c r="AR5" s="660"/>
      <c r="AS5" s="660"/>
      <c r="AT5" s="718">
        <v>2026</v>
      </c>
      <c r="AU5" s="718"/>
      <c r="AV5" s="718"/>
      <c r="AW5" s="718"/>
      <c r="AX5" s="718"/>
      <c r="AY5" s="718"/>
      <c r="AZ5" s="718"/>
      <c r="BA5" s="718"/>
      <c r="BB5" s="718"/>
      <c r="BC5" s="718"/>
      <c r="BD5" s="718"/>
      <c r="BE5" s="718"/>
      <c r="BF5" s="718"/>
      <c r="BG5" s="718"/>
      <c r="BH5" s="718"/>
      <c r="BI5" s="718"/>
      <c r="BJ5" s="718"/>
      <c r="BK5" s="718"/>
      <c r="BL5" s="718"/>
      <c r="BM5" s="718"/>
      <c r="BN5" s="718"/>
      <c r="BO5" s="718"/>
      <c r="BP5" s="718"/>
      <c r="BQ5" s="718"/>
      <c r="BR5" s="718"/>
      <c r="BS5" s="718"/>
      <c r="BT5" s="718"/>
      <c r="BU5" s="718"/>
      <c r="BV5" s="718"/>
      <c r="BW5" s="718"/>
      <c r="BX5" s="718"/>
      <c r="BY5" s="718"/>
      <c r="BZ5" s="718"/>
      <c r="CA5" s="718"/>
      <c r="CB5" s="718"/>
      <c r="CC5" s="718"/>
      <c r="CD5" s="718"/>
      <c r="CE5" s="718"/>
      <c r="CF5" s="718"/>
      <c r="CG5" s="718"/>
      <c r="CH5" s="718"/>
      <c r="CI5" s="718"/>
      <c r="CJ5" s="718"/>
      <c r="CK5" s="718"/>
      <c r="CL5" s="718"/>
      <c r="CM5" s="718"/>
      <c r="CN5" s="718"/>
      <c r="CO5" s="718"/>
      <c r="CP5" s="718"/>
      <c r="CQ5" s="718"/>
      <c r="CR5" s="718"/>
      <c r="CS5" s="718"/>
      <c r="CT5" s="718"/>
      <c r="CU5" s="718"/>
      <c r="CV5" s="718"/>
      <c r="CW5" s="718"/>
      <c r="CX5" s="718"/>
      <c r="CY5" s="718"/>
      <c r="CZ5" s="718"/>
      <c r="DA5" s="718"/>
      <c r="DB5" s="718"/>
      <c r="DC5" s="718"/>
      <c r="DD5" s="718"/>
      <c r="DE5" s="718"/>
      <c r="DF5" s="718"/>
      <c r="DG5" s="718"/>
      <c r="DH5" s="718"/>
      <c r="DI5" s="719"/>
    </row>
    <row r="6" spans="2:113">
      <c r="B6" s="739"/>
      <c r="C6" s="740"/>
      <c r="D6" s="740"/>
      <c r="E6" s="740"/>
      <c r="F6" s="740"/>
      <c r="G6" s="740"/>
      <c r="H6" s="740"/>
      <c r="I6" s="741"/>
      <c r="J6" s="745" t="s">
        <v>291</v>
      </c>
      <c r="K6" s="746"/>
      <c r="L6" s="746"/>
      <c r="M6" s="746"/>
      <c r="N6" s="746"/>
      <c r="O6" s="746"/>
      <c r="P6" s="746"/>
      <c r="Q6" s="746"/>
      <c r="R6" s="746"/>
      <c r="S6" s="746"/>
      <c r="T6" s="746"/>
      <c r="U6" s="746"/>
      <c r="V6" s="746"/>
      <c r="W6" s="746"/>
      <c r="X6" s="746"/>
      <c r="Y6" s="746"/>
      <c r="Z6" s="746"/>
      <c r="AA6" s="746"/>
      <c r="AB6" s="746"/>
      <c r="AC6" s="747"/>
      <c r="AD6" s="748" t="s">
        <v>292</v>
      </c>
      <c r="AE6" s="748"/>
      <c r="AF6" s="748"/>
      <c r="AG6" s="748"/>
      <c r="AH6" s="748"/>
      <c r="AI6" s="748"/>
      <c r="AJ6" s="748"/>
      <c r="AK6" s="748"/>
      <c r="AL6" s="748"/>
      <c r="AM6" s="748"/>
      <c r="AN6" s="748"/>
      <c r="AO6" s="748"/>
      <c r="AP6" s="748"/>
      <c r="AQ6" s="748"/>
      <c r="AR6" s="748"/>
      <c r="AS6" s="748"/>
      <c r="AT6" s="749" t="s">
        <v>272</v>
      </c>
      <c r="AU6" s="750"/>
      <c r="AV6" s="750"/>
      <c r="AW6" s="750"/>
      <c r="AX6" s="750"/>
      <c r="AY6" s="750"/>
      <c r="AZ6" s="750"/>
      <c r="BA6" s="750"/>
      <c r="BB6" s="750"/>
      <c r="BC6" s="750"/>
      <c r="BD6" s="750"/>
      <c r="BE6" s="750"/>
      <c r="BF6" s="750"/>
      <c r="BG6" s="750"/>
      <c r="BH6" s="750"/>
      <c r="BI6" s="750"/>
      <c r="BJ6" s="750"/>
      <c r="BK6" s="750"/>
      <c r="BL6" s="750"/>
      <c r="BM6" s="750"/>
      <c r="BN6" s="720" t="s">
        <v>281</v>
      </c>
      <c r="BO6" s="721"/>
      <c r="BP6" s="721"/>
      <c r="BQ6" s="721"/>
      <c r="BR6" s="721"/>
      <c r="BS6" s="721"/>
      <c r="BT6" s="721"/>
      <c r="BU6" s="721"/>
      <c r="BV6" s="721"/>
      <c r="BW6" s="721"/>
      <c r="BX6" s="721"/>
      <c r="BY6" s="721"/>
      <c r="BZ6" s="721"/>
      <c r="CA6" s="721"/>
      <c r="CB6" s="721"/>
      <c r="CC6" s="721"/>
      <c r="CD6" s="720" t="s">
        <v>283</v>
      </c>
      <c r="CE6" s="721"/>
      <c r="CF6" s="721"/>
      <c r="CG6" s="721"/>
      <c r="CH6" s="721"/>
      <c r="CI6" s="721"/>
      <c r="CJ6" s="721"/>
      <c r="CK6" s="721"/>
      <c r="CL6" s="721"/>
      <c r="CM6" s="721"/>
      <c r="CN6" s="721"/>
      <c r="CO6" s="721"/>
      <c r="CP6" s="721"/>
      <c r="CQ6" s="721"/>
      <c r="CR6" s="721"/>
      <c r="CS6" s="721"/>
      <c r="CT6" s="720" t="s">
        <v>334</v>
      </c>
      <c r="CU6" s="721"/>
      <c r="CV6" s="721"/>
      <c r="CW6" s="721"/>
      <c r="CX6" s="721"/>
      <c r="CY6" s="721"/>
      <c r="CZ6" s="721"/>
      <c r="DA6" s="721"/>
      <c r="DB6" s="721"/>
      <c r="DC6" s="721"/>
      <c r="DD6" s="721"/>
      <c r="DE6" s="721"/>
      <c r="DF6" s="721"/>
      <c r="DG6" s="721"/>
      <c r="DH6" s="721"/>
      <c r="DI6" s="722"/>
    </row>
    <row r="7" spans="2:113" ht="15.75" thickBot="1">
      <c r="B7" s="742"/>
      <c r="C7" s="743"/>
      <c r="D7" s="743"/>
      <c r="E7" s="743"/>
      <c r="F7" s="743"/>
      <c r="G7" s="743"/>
      <c r="H7" s="743"/>
      <c r="I7" s="744"/>
      <c r="J7" s="735">
        <v>1</v>
      </c>
      <c r="K7" s="727"/>
      <c r="L7" s="727"/>
      <c r="M7" s="727"/>
      <c r="N7" s="727">
        <v>2</v>
      </c>
      <c r="O7" s="727"/>
      <c r="P7" s="727"/>
      <c r="Q7" s="727"/>
      <c r="R7" s="727">
        <v>3</v>
      </c>
      <c r="S7" s="727"/>
      <c r="T7" s="727"/>
      <c r="U7" s="727"/>
      <c r="V7" s="727">
        <v>4</v>
      </c>
      <c r="W7" s="727"/>
      <c r="X7" s="727"/>
      <c r="Y7" s="727"/>
      <c r="Z7" s="727">
        <v>5</v>
      </c>
      <c r="AA7" s="727"/>
      <c r="AB7" s="727"/>
      <c r="AC7" s="752"/>
      <c r="AD7" s="735">
        <v>6</v>
      </c>
      <c r="AE7" s="727"/>
      <c r="AF7" s="727"/>
      <c r="AG7" s="727"/>
      <c r="AH7" s="753">
        <v>7</v>
      </c>
      <c r="AI7" s="754"/>
      <c r="AJ7" s="754"/>
      <c r="AK7" s="755"/>
      <c r="AL7" s="716">
        <v>8</v>
      </c>
      <c r="AM7" s="716"/>
      <c r="AN7" s="716"/>
      <c r="AO7" s="716"/>
      <c r="AP7" s="723">
        <v>9</v>
      </c>
      <c r="AQ7" s="723"/>
      <c r="AR7" s="723"/>
      <c r="AS7" s="728"/>
      <c r="AT7" s="726">
        <v>10</v>
      </c>
      <c r="AU7" s="727"/>
      <c r="AV7" s="727"/>
      <c r="AW7" s="727"/>
      <c r="AX7" s="727">
        <v>11</v>
      </c>
      <c r="AY7" s="727"/>
      <c r="AZ7" s="727"/>
      <c r="BA7" s="727"/>
      <c r="BB7" s="716">
        <v>12</v>
      </c>
      <c r="BC7" s="716"/>
      <c r="BD7" s="716"/>
      <c r="BE7" s="716"/>
      <c r="BF7" s="716">
        <v>13</v>
      </c>
      <c r="BG7" s="716"/>
      <c r="BH7" s="716"/>
      <c r="BI7" s="716"/>
      <c r="BJ7" s="723">
        <v>14</v>
      </c>
      <c r="BK7" s="723"/>
      <c r="BL7" s="723"/>
      <c r="BM7" s="725"/>
      <c r="BN7" s="751">
        <v>15</v>
      </c>
      <c r="BO7" s="723"/>
      <c r="BP7" s="723"/>
      <c r="BQ7" s="723"/>
      <c r="BR7" s="723">
        <v>16</v>
      </c>
      <c r="BS7" s="723"/>
      <c r="BT7" s="723"/>
      <c r="BU7" s="723"/>
      <c r="BV7" s="723">
        <v>17</v>
      </c>
      <c r="BW7" s="723"/>
      <c r="BX7" s="723"/>
      <c r="BY7" s="723"/>
      <c r="BZ7" s="723">
        <v>18</v>
      </c>
      <c r="CA7" s="723"/>
      <c r="CB7" s="723"/>
      <c r="CC7" s="723"/>
      <c r="CD7" s="723">
        <v>19</v>
      </c>
      <c r="CE7" s="723"/>
      <c r="CF7" s="723"/>
      <c r="CG7" s="723"/>
      <c r="CH7" s="723">
        <v>20</v>
      </c>
      <c r="CI7" s="723"/>
      <c r="CJ7" s="723"/>
      <c r="CK7" s="723"/>
      <c r="CL7" s="723">
        <v>21</v>
      </c>
      <c r="CM7" s="723"/>
      <c r="CN7" s="723"/>
      <c r="CO7" s="723"/>
      <c r="CP7" s="723">
        <v>22</v>
      </c>
      <c r="CQ7" s="723"/>
      <c r="CR7" s="723"/>
      <c r="CS7" s="725"/>
      <c r="CT7" s="723">
        <v>23</v>
      </c>
      <c r="CU7" s="723"/>
      <c r="CV7" s="723"/>
      <c r="CW7" s="723"/>
      <c r="CX7" s="723">
        <v>24</v>
      </c>
      <c r="CY7" s="723"/>
      <c r="CZ7" s="723"/>
      <c r="DA7" s="723"/>
      <c r="DB7" s="723">
        <v>25</v>
      </c>
      <c r="DC7" s="723"/>
      <c r="DD7" s="723"/>
      <c r="DE7" s="723"/>
      <c r="DF7" s="723">
        <v>26</v>
      </c>
      <c r="DG7" s="723"/>
      <c r="DH7" s="723"/>
      <c r="DI7" s="724"/>
    </row>
    <row r="8" spans="2:113" ht="18" customHeight="1">
      <c r="B8" s="592"/>
      <c r="C8" s="593"/>
      <c r="D8" s="593"/>
      <c r="E8" s="593"/>
      <c r="F8" s="594"/>
      <c r="G8" s="593"/>
      <c r="H8" s="595" t="s">
        <v>293</v>
      </c>
      <c r="I8" s="596" t="s">
        <v>183</v>
      </c>
      <c r="J8" s="597"/>
      <c r="K8" s="598"/>
      <c r="L8" s="598"/>
      <c r="M8" s="598"/>
      <c r="N8" s="598"/>
      <c r="O8" s="598"/>
      <c r="P8" s="598"/>
      <c r="Q8" s="598"/>
      <c r="R8" s="598"/>
      <c r="S8" s="598"/>
      <c r="T8" s="598"/>
      <c r="U8" s="598"/>
      <c r="V8" s="598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598"/>
      <c r="AH8" s="598"/>
      <c r="AI8" s="598"/>
      <c r="AJ8" s="598"/>
      <c r="AK8" s="598"/>
      <c r="AL8" s="598"/>
      <c r="AM8" s="598"/>
      <c r="AN8" s="598"/>
      <c r="AO8" s="598"/>
      <c r="AP8" s="598"/>
      <c r="AQ8" s="593"/>
      <c r="AR8" s="598"/>
      <c r="AS8" s="598"/>
      <c r="AT8" s="655"/>
      <c r="AU8" s="655"/>
      <c r="AV8" s="655"/>
      <c r="AW8" s="655"/>
      <c r="AX8" s="598"/>
      <c r="AY8" s="655" t="s">
        <v>339</v>
      </c>
      <c r="AZ8" s="598"/>
      <c r="BA8" s="598"/>
      <c r="BB8" s="598"/>
      <c r="BC8" s="598"/>
      <c r="BD8" s="598"/>
      <c r="BE8" s="598"/>
      <c r="BF8" s="598"/>
      <c r="BG8" s="598"/>
      <c r="BH8" s="598"/>
      <c r="BI8" s="598"/>
      <c r="BJ8" s="598"/>
      <c r="BL8" s="655" t="s">
        <v>340</v>
      </c>
      <c r="BM8" s="655"/>
      <c r="BN8" s="655"/>
      <c r="BO8" s="655"/>
      <c r="BP8" s="655"/>
      <c r="BQ8" s="655"/>
      <c r="BR8" s="598"/>
      <c r="BS8" s="598"/>
      <c r="BT8" s="598"/>
      <c r="BU8" s="598"/>
      <c r="BV8" s="598"/>
      <c r="BW8" s="598"/>
      <c r="BX8" s="598"/>
      <c r="BY8" s="598"/>
      <c r="BZ8" s="598"/>
      <c r="CA8" s="598"/>
      <c r="CB8" s="598"/>
      <c r="CC8" s="598"/>
      <c r="CD8" s="598"/>
      <c r="CE8" s="598"/>
      <c r="CF8" s="598"/>
      <c r="CG8" s="598"/>
      <c r="CH8" s="598"/>
      <c r="CI8" s="598"/>
      <c r="CJ8" s="598"/>
      <c r="CK8" s="598"/>
      <c r="CL8" s="598"/>
      <c r="CM8" s="598"/>
      <c r="CN8" s="598"/>
      <c r="CO8" s="598"/>
      <c r="CP8" s="598"/>
      <c r="CQ8" s="598"/>
      <c r="CR8" s="598"/>
      <c r="CS8" s="598"/>
      <c r="CT8" s="598"/>
      <c r="CU8" s="598"/>
      <c r="CV8" s="598"/>
      <c r="CW8" s="598"/>
      <c r="CX8" s="598"/>
      <c r="CY8" s="598"/>
      <c r="CZ8" s="598"/>
      <c r="DA8" s="598"/>
      <c r="DB8" s="598"/>
      <c r="DC8" s="598"/>
      <c r="DD8" s="598"/>
      <c r="DE8" s="598"/>
      <c r="DF8" s="598"/>
      <c r="DG8" s="598"/>
      <c r="DH8" s="598"/>
      <c r="DI8" s="599"/>
    </row>
    <row r="9" spans="2:113" ht="18" customHeight="1">
      <c r="B9" s="600"/>
      <c r="C9" s="601"/>
      <c r="D9" s="601"/>
      <c r="E9" s="601"/>
      <c r="F9" s="602"/>
      <c r="G9" s="601"/>
      <c r="H9" s="603" t="s">
        <v>294</v>
      </c>
      <c r="I9" s="604" t="s">
        <v>183</v>
      </c>
      <c r="J9" s="605"/>
      <c r="K9" s="606"/>
      <c r="L9" s="606"/>
      <c r="M9" s="606"/>
      <c r="N9" s="606"/>
      <c r="O9" s="606"/>
      <c r="P9" s="606"/>
      <c r="Q9" s="606"/>
      <c r="R9" s="606"/>
      <c r="S9" s="606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31"/>
      <c r="AU9" s="631"/>
      <c r="AV9" s="631"/>
      <c r="AW9" s="631"/>
      <c r="AX9" s="606"/>
      <c r="AY9" s="606"/>
      <c r="AZ9" s="631"/>
      <c r="BA9" s="631"/>
      <c r="BB9" s="631"/>
      <c r="BC9" s="631"/>
      <c r="BD9" s="631"/>
      <c r="BE9" s="606"/>
      <c r="BF9" s="606"/>
      <c r="BG9" s="606"/>
      <c r="BH9" s="606"/>
      <c r="BI9" s="606"/>
      <c r="BJ9" s="606"/>
      <c r="BK9" s="606"/>
      <c r="BL9" s="631"/>
      <c r="BM9" s="631"/>
      <c r="BN9" s="631"/>
      <c r="BO9" s="631"/>
      <c r="BP9" s="631"/>
      <c r="BQ9" s="631"/>
      <c r="BR9" s="631"/>
      <c r="BS9" s="631"/>
      <c r="BT9" s="631"/>
      <c r="BU9" s="606"/>
      <c r="BV9" s="606"/>
      <c r="BW9" s="606"/>
      <c r="BX9" s="606"/>
      <c r="BY9" s="606"/>
      <c r="BZ9" s="606"/>
      <c r="CA9" s="606"/>
      <c r="CB9" s="606"/>
      <c r="CC9" s="606"/>
      <c r="CD9" s="606"/>
      <c r="CE9" s="606"/>
      <c r="CF9" s="606"/>
      <c r="CG9" s="606"/>
      <c r="CH9" s="606"/>
      <c r="CI9" s="606"/>
      <c r="CJ9" s="606"/>
      <c r="CK9" s="606"/>
      <c r="CL9" s="606"/>
      <c r="CM9" s="606"/>
      <c r="CN9" s="606"/>
      <c r="CO9" s="606"/>
      <c r="CP9" s="606"/>
      <c r="CQ9" s="606"/>
      <c r="CR9" s="606"/>
      <c r="CS9" s="606"/>
      <c r="CT9" s="606"/>
      <c r="CU9" s="606"/>
      <c r="CV9" s="606"/>
      <c r="CW9" s="606"/>
      <c r="CX9" s="606"/>
      <c r="CY9" s="606"/>
      <c r="CZ9" s="606"/>
      <c r="DA9" s="606"/>
      <c r="DB9" s="606"/>
      <c r="DC9" s="606"/>
      <c r="DD9" s="606"/>
      <c r="DE9" s="606"/>
      <c r="DF9" s="606"/>
      <c r="DG9" s="606"/>
      <c r="DH9" s="606"/>
      <c r="DI9" s="607"/>
    </row>
    <row r="10" spans="2:113" ht="18" customHeight="1">
      <c r="B10" s="600"/>
      <c r="C10" s="601"/>
      <c r="D10" s="601"/>
      <c r="E10" s="601"/>
      <c r="F10" s="603" t="s">
        <v>295</v>
      </c>
      <c r="G10" s="601"/>
      <c r="H10" s="603" t="s">
        <v>336</v>
      </c>
      <c r="I10" s="604" t="s">
        <v>183</v>
      </c>
      <c r="J10" s="605"/>
      <c r="K10" s="606"/>
      <c r="L10" s="606"/>
      <c r="M10" s="606"/>
      <c r="N10" s="606"/>
      <c r="O10" s="606"/>
      <c r="P10" s="606"/>
      <c r="Q10" s="606"/>
      <c r="R10" s="606"/>
      <c r="S10" s="606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  <c r="AG10" s="606"/>
      <c r="AH10" s="606"/>
      <c r="AI10" s="606"/>
      <c r="AJ10" s="606"/>
      <c r="AK10" s="606"/>
      <c r="AL10" s="606"/>
      <c r="AM10" s="606"/>
      <c r="AN10" s="606"/>
      <c r="AO10" s="606"/>
      <c r="AP10" s="606"/>
      <c r="AQ10" s="606"/>
      <c r="AR10" s="606"/>
      <c r="AS10" s="606"/>
      <c r="AT10" s="631"/>
      <c r="AU10" s="631"/>
      <c r="AV10" s="631"/>
      <c r="AW10" s="631"/>
      <c r="AX10" s="606"/>
      <c r="AY10" s="606"/>
      <c r="AZ10" s="606"/>
      <c r="BA10" s="606"/>
      <c r="BB10" s="606"/>
      <c r="BC10" s="606"/>
      <c r="BD10" s="631" t="s">
        <v>337</v>
      </c>
      <c r="BE10" s="631"/>
      <c r="BF10" s="631"/>
      <c r="BG10" s="631"/>
      <c r="BH10" s="631"/>
      <c r="BI10" s="606"/>
      <c r="BJ10" s="606"/>
      <c r="BK10" s="606"/>
      <c r="BL10" s="606"/>
      <c r="BM10" s="606"/>
      <c r="BN10" s="606"/>
      <c r="BO10" s="606"/>
      <c r="BP10" s="606"/>
      <c r="BQ10" s="606"/>
      <c r="BR10" s="606"/>
      <c r="BS10" s="606"/>
      <c r="BT10" s="606"/>
      <c r="BU10" s="606"/>
      <c r="BV10" s="606"/>
      <c r="BW10" s="606"/>
      <c r="BX10" s="606"/>
      <c r="BY10" s="606"/>
      <c r="BZ10" s="606"/>
      <c r="CA10" s="606"/>
      <c r="CB10" s="606"/>
      <c r="CC10" s="606"/>
      <c r="CD10" s="606"/>
      <c r="CE10" s="606"/>
      <c r="CF10" s="606"/>
      <c r="CG10" s="606"/>
      <c r="CH10" s="606"/>
      <c r="CI10" s="606"/>
      <c r="CJ10" s="606"/>
      <c r="CK10" s="606"/>
      <c r="CL10" s="606"/>
      <c r="CM10" s="606"/>
      <c r="CN10" s="606"/>
      <c r="CO10" s="606"/>
      <c r="CP10" s="606"/>
      <c r="CQ10" s="606"/>
      <c r="CR10" s="606"/>
      <c r="CS10" s="606"/>
      <c r="CT10" s="606"/>
      <c r="CU10" s="606"/>
      <c r="CV10" s="606"/>
      <c r="CW10" s="606"/>
      <c r="CX10" s="606"/>
      <c r="CY10" s="606"/>
      <c r="CZ10" s="606"/>
      <c r="DA10" s="606"/>
      <c r="DB10" s="606"/>
      <c r="DC10" s="606"/>
      <c r="DD10" s="606"/>
      <c r="DE10" s="606"/>
      <c r="DF10" s="606"/>
      <c r="DG10" s="606"/>
      <c r="DH10" s="606"/>
      <c r="DI10" s="607"/>
    </row>
    <row r="11" spans="2:113" ht="18" customHeight="1">
      <c r="B11" s="600"/>
      <c r="C11" s="601"/>
      <c r="D11" s="601"/>
      <c r="E11" s="601"/>
      <c r="F11" s="602"/>
      <c r="G11" s="601"/>
      <c r="H11" s="603" t="s">
        <v>335</v>
      </c>
      <c r="I11" s="604" t="s">
        <v>183</v>
      </c>
      <c r="J11" s="605"/>
      <c r="K11" s="606"/>
      <c r="L11" s="606"/>
      <c r="M11" s="606"/>
      <c r="N11" s="606"/>
      <c r="O11" s="606"/>
      <c r="P11" s="606"/>
      <c r="Q11" s="606"/>
      <c r="R11" s="606"/>
      <c r="S11" s="606"/>
      <c r="T11" s="606"/>
      <c r="U11" s="606"/>
      <c r="V11" s="606"/>
      <c r="W11" s="606"/>
      <c r="X11" s="606"/>
      <c r="Y11" s="606"/>
      <c r="Z11" s="606"/>
      <c r="AA11" s="606"/>
      <c r="AB11" s="606"/>
      <c r="AC11" s="606"/>
      <c r="AD11" s="606"/>
      <c r="AE11" s="606"/>
      <c r="AF11" s="606"/>
      <c r="AG11" s="606"/>
      <c r="AH11" s="606"/>
      <c r="AI11" s="606"/>
      <c r="AJ11" s="606"/>
      <c r="AK11" s="606"/>
      <c r="AL11" s="606"/>
      <c r="AM11" s="606"/>
      <c r="AN11" s="606"/>
      <c r="AO11" s="606"/>
      <c r="AP11" s="606"/>
      <c r="AQ11" s="606"/>
      <c r="AR11" s="606"/>
      <c r="AS11" s="606"/>
      <c r="AT11" s="631"/>
      <c r="AU11" s="631"/>
      <c r="AV11" s="631"/>
      <c r="AW11" s="631"/>
      <c r="AX11" s="606"/>
      <c r="AY11" s="606"/>
      <c r="AZ11" s="606"/>
      <c r="BA11" s="606"/>
      <c r="BB11" s="606"/>
      <c r="BC11" s="606"/>
      <c r="BD11" s="631" t="s">
        <v>338</v>
      </c>
      <c r="BE11" s="631"/>
      <c r="BF11" s="631"/>
      <c r="BG11" s="631"/>
      <c r="BH11" s="631"/>
      <c r="BI11" s="606"/>
      <c r="BJ11" s="606"/>
      <c r="BK11" s="606"/>
      <c r="BL11" s="606"/>
      <c r="BM11" s="606"/>
      <c r="BN11" s="606"/>
      <c r="BO11" s="606"/>
      <c r="BP11" s="631" t="s">
        <v>338</v>
      </c>
      <c r="BQ11" s="631"/>
      <c r="BR11" s="631"/>
      <c r="BS11" s="631"/>
      <c r="BT11" s="631"/>
      <c r="BU11" s="631"/>
      <c r="BV11" s="631"/>
      <c r="BW11" s="606"/>
      <c r="BX11" s="606"/>
      <c r="BY11" s="606"/>
      <c r="BZ11" s="606"/>
      <c r="CA11" s="606"/>
      <c r="CB11" s="606"/>
      <c r="CC11" s="606"/>
      <c r="CD11" s="606"/>
      <c r="CE11" s="606"/>
      <c r="CF11" s="606"/>
      <c r="CG11" s="606"/>
      <c r="CH11" s="606"/>
      <c r="CI11" s="606"/>
      <c r="CJ11" s="606"/>
      <c r="CK11" s="606"/>
      <c r="CL11" s="606"/>
      <c r="CM11" s="606"/>
      <c r="CN11" s="606"/>
      <c r="CO11" s="606"/>
      <c r="CP11" s="606"/>
      <c r="CQ11" s="606"/>
      <c r="CR11" s="606"/>
      <c r="CS11" s="606"/>
      <c r="CT11" s="606"/>
      <c r="CU11" s="606"/>
      <c r="CV11" s="606"/>
      <c r="CW11" s="606"/>
      <c r="CX11" s="606"/>
      <c r="CY11" s="606"/>
      <c r="CZ11" s="606"/>
      <c r="DA11" s="606"/>
      <c r="DB11" s="606"/>
      <c r="DC11" s="606"/>
      <c r="DD11" s="606"/>
      <c r="DE11" s="606"/>
      <c r="DF11" s="606"/>
      <c r="DG11" s="606"/>
      <c r="DH11" s="606"/>
      <c r="DI11" s="607"/>
    </row>
    <row r="12" spans="2:113" ht="18" customHeight="1">
      <c r="B12" s="600"/>
      <c r="C12" s="601"/>
      <c r="D12" s="601"/>
      <c r="E12" s="601"/>
      <c r="F12" s="602"/>
      <c r="G12" s="601"/>
      <c r="H12" s="603" t="s">
        <v>296</v>
      </c>
      <c r="I12" s="604" t="s">
        <v>183</v>
      </c>
      <c r="J12" s="605"/>
      <c r="K12" s="606"/>
      <c r="L12" s="606"/>
      <c r="M12" s="606"/>
      <c r="N12" s="606"/>
      <c r="O12" s="606"/>
      <c r="P12" s="606"/>
      <c r="Q12" s="606"/>
      <c r="R12" s="606"/>
      <c r="S12" s="606"/>
      <c r="T12" s="606"/>
      <c r="U12" s="606"/>
      <c r="V12" s="606"/>
      <c r="W12" s="606"/>
      <c r="X12" s="606"/>
      <c r="Y12" s="606"/>
      <c r="Z12" s="606"/>
      <c r="AA12" s="606"/>
      <c r="AB12" s="606"/>
      <c r="AC12" s="606"/>
      <c r="AD12" s="606"/>
      <c r="AE12" s="606"/>
      <c r="AF12" s="606"/>
      <c r="AG12" s="606"/>
      <c r="AH12" s="606"/>
      <c r="AI12" s="606"/>
      <c r="AJ12" s="606"/>
      <c r="AK12" s="606"/>
      <c r="AL12" s="606"/>
      <c r="AM12" s="606"/>
      <c r="AN12" s="606"/>
      <c r="AO12" s="606"/>
      <c r="AP12" s="606"/>
      <c r="AQ12" s="606"/>
      <c r="AR12" s="606"/>
      <c r="AS12" s="606"/>
      <c r="AT12" s="631"/>
      <c r="AU12" s="631"/>
      <c r="AV12" s="631"/>
      <c r="AW12" s="631"/>
      <c r="AX12" s="606"/>
      <c r="AY12" s="606"/>
      <c r="AZ12" s="606"/>
      <c r="BA12" s="606"/>
      <c r="BB12" s="606"/>
      <c r="BC12" s="606"/>
      <c r="BD12" s="606"/>
      <c r="BE12" s="606"/>
      <c r="BF12" s="606"/>
      <c r="BG12" s="606"/>
      <c r="BH12" s="631"/>
      <c r="BI12" s="631"/>
      <c r="BJ12" s="606"/>
      <c r="BK12" s="606"/>
      <c r="BL12" s="606"/>
      <c r="BM12" s="606"/>
      <c r="BN12" s="606"/>
      <c r="BO12" s="606"/>
      <c r="BP12" s="606"/>
      <c r="BQ12" s="606"/>
      <c r="BR12" s="606"/>
      <c r="BS12" s="631"/>
      <c r="BT12" s="631"/>
      <c r="BU12" s="631"/>
      <c r="BV12" s="631"/>
      <c r="BW12" s="631"/>
      <c r="BX12" s="631"/>
      <c r="BY12" s="606"/>
      <c r="BZ12" s="606"/>
      <c r="CA12" s="606"/>
      <c r="CB12" s="606"/>
      <c r="CC12" s="606"/>
      <c r="CD12" s="606"/>
      <c r="CE12" s="606"/>
      <c r="CF12" s="606"/>
      <c r="CG12" s="606"/>
      <c r="CH12" s="606"/>
      <c r="CI12" s="606"/>
      <c r="CJ12" s="606"/>
      <c r="CK12" s="606"/>
      <c r="CL12" s="606"/>
      <c r="CM12" s="606"/>
      <c r="CN12" s="606"/>
      <c r="CO12" s="606"/>
      <c r="CP12" s="606"/>
      <c r="CQ12" s="606"/>
      <c r="CR12" s="606"/>
      <c r="CS12" s="606"/>
      <c r="CT12" s="606"/>
      <c r="CU12" s="606"/>
      <c r="CV12" s="606"/>
      <c r="CW12" s="606"/>
      <c r="CX12" s="606"/>
      <c r="CY12" s="606"/>
      <c r="CZ12" s="606"/>
      <c r="DA12" s="606"/>
      <c r="DB12" s="606"/>
      <c r="DC12" s="606"/>
      <c r="DD12" s="606"/>
      <c r="DE12" s="606"/>
      <c r="DF12" s="606"/>
      <c r="DG12" s="606"/>
      <c r="DH12" s="606"/>
      <c r="DI12" s="607"/>
    </row>
    <row r="13" spans="2:113" ht="18" customHeight="1" thickBot="1">
      <c r="B13" s="608"/>
      <c r="C13" s="609"/>
      <c r="D13" s="609"/>
      <c r="E13" s="609"/>
      <c r="F13" s="610"/>
      <c r="G13" s="609"/>
      <c r="H13" s="611" t="s">
        <v>297</v>
      </c>
      <c r="I13" s="612" t="s">
        <v>183</v>
      </c>
      <c r="J13" s="613"/>
      <c r="K13" s="614"/>
      <c r="L13" s="614"/>
      <c r="M13" s="614"/>
      <c r="N13" s="614"/>
      <c r="O13" s="614"/>
      <c r="P13" s="614"/>
      <c r="Q13" s="614"/>
      <c r="R13" s="614"/>
      <c r="S13" s="614"/>
      <c r="T13" s="614"/>
      <c r="U13" s="614"/>
      <c r="V13" s="614"/>
      <c r="W13" s="614"/>
      <c r="X13" s="614"/>
      <c r="Y13" s="614"/>
      <c r="Z13" s="614"/>
      <c r="AA13" s="614"/>
      <c r="AB13" s="614"/>
      <c r="AC13" s="614"/>
      <c r="AD13" s="614"/>
      <c r="AE13" s="614"/>
      <c r="AF13" s="614"/>
      <c r="AG13" s="614"/>
      <c r="AH13" s="614"/>
      <c r="AI13" s="614"/>
      <c r="AJ13" s="614"/>
      <c r="AK13" s="614"/>
      <c r="AL13" s="614"/>
      <c r="AM13" s="614"/>
      <c r="AN13" s="614"/>
      <c r="AO13" s="614"/>
      <c r="AP13" s="614"/>
      <c r="AQ13" s="614"/>
      <c r="AR13" s="614"/>
      <c r="AS13" s="614"/>
      <c r="AT13" s="656"/>
      <c r="AU13" s="656"/>
      <c r="AV13" s="656"/>
      <c r="AW13" s="656"/>
      <c r="AX13" s="614"/>
      <c r="AY13" s="614"/>
      <c r="AZ13" s="614"/>
      <c r="BA13" s="614"/>
      <c r="BB13" s="614"/>
      <c r="BC13" s="614"/>
      <c r="BD13" s="614"/>
      <c r="BE13" s="614"/>
      <c r="BF13" s="614"/>
      <c r="BG13" s="614"/>
      <c r="BH13" s="614"/>
      <c r="BI13" s="656"/>
      <c r="BJ13" s="656"/>
      <c r="BK13" s="656"/>
      <c r="BL13" s="614"/>
      <c r="BM13" s="614"/>
      <c r="BN13" s="614"/>
      <c r="BO13" s="614"/>
      <c r="BP13" s="614"/>
      <c r="BQ13" s="614"/>
      <c r="BR13" s="614"/>
      <c r="BS13" s="614"/>
      <c r="BT13" s="656"/>
      <c r="BU13" s="656"/>
      <c r="BV13" s="656"/>
      <c r="BW13" s="656"/>
      <c r="BX13" s="656"/>
      <c r="BY13" s="656"/>
      <c r="BZ13" s="656"/>
      <c r="CA13" s="614"/>
      <c r="CB13" s="614"/>
      <c r="CC13" s="614"/>
      <c r="CD13" s="614"/>
      <c r="CE13" s="614"/>
      <c r="CF13" s="614"/>
      <c r="CG13" s="614"/>
      <c r="CH13" s="614"/>
      <c r="CI13" s="614"/>
      <c r="CJ13" s="614"/>
      <c r="CK13" s="614"/>
      <c r="CL13" s="614"/>
      <c r="CM13" s="614"/>
      <c r="CN13" s="614"/>
      <c r="CO13" s="614"/>
      <c r="CP13" s="614"/>
      <c r="CQ13" s="614"/>
      <c r="CR13" s="614"/>
      <c r="CS13" s="614"/>
      <c r="CT13" s="614"/>
      <c r="CU13" s="614"/>
      <c r="CV13" s="614"/>
      <c r="CW13" s="614"/>
      <c r="CX13" s="614"/>
      <c r="CY13" s="614"/>
      <c r="CZ13" s="614"/>
      <c r="DA13" s="614"/>
      <c r="DB13" s="614"/>
      <c r="DC13" s="614"/>
      <c r="DD13" s="614"/>
      <c r="DE13" s="614"/>
      <c r="DF13" s="614"/>
      <c r="DG13" s="614"/>
      <c r="DH13" s="614"/>
      <c r="DI13" s="615"/>
    </row>
    <row r="14" spans="2:113">
      <c r="B14" s="729" t="s">
        <v>115</v>
      </c>
      <c r="C14" s="731" t="s">
        <v>298</v>
      </c>
      <c r="D14" s="731"/>
      <c r="E14" s="731"/>
      <c r="F14" s="731"/>
      <c r="G14" s="731"/>
      <c r="H14" s="731"/>
      <c r="I14" s="732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  <c r="CG14" s="245"/>
      <c r="CH14" s="245"/>
      <c r="CI14" s="245"/>
      <c r="CJ14" s="245"/>
      <c r="CK14" s="245"/>
      <c r="CL14" s="245"/>
      <c r="CM14" s="245"/>
      <c r="CN14" s="245"/>
      <c r="CO14" s="245"/>
      <c r="CP14" s="245"/>
      <c r="CQ14" s="245"/>
      <c r="CR14" s="245"/>
      <c r="CS14" s="245"/>
      <c r="CT14" s="245"/>
      <c r="CU14" s="245"/>
      <c r="CV14" s="245"/>
      <c r="CW14" s="245"/>
      <c r="CX14" s="245"/>
      <c r="CY14" s="245"/>
      <c r="CZ14" s="245"/>
      <c r="DA14" s="245"/>
      <c r="DB14" s="245"/>
      <c r="DC14" s="245"/>
      <c r="DD14" s="245"/>
      <c r="DE14" s="245"/>
      <c r="DF14" s="245"/>
      <c r="DG14" s="245"/>
      <c r="DH14" s="245"/>
      <c r="DI14" s="661"/>
    </row>
    <row r="15" spans="2:113" ht="15.75" thickBot="1">
      <c r="B15" s="730"/>
      <c r="C15" s="616" t="s">
        <v>299</v>
      </c>
      <c r="D15" s="616"/>
      <c r="E15" s="733" t="s">
        <v>201</v>
      </c>
      <c r="F15" s="733"/>
      <c r="G15" s="733" t="s">
        <v>66</v>
      </c>
      <c r="H15" s="733"/>
      <c r="I15" s="734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661"/>
    </row>
    <row r="16" spans="2:113" ht="18" customHeight="1">
      <c r="B16" s="617" t="s">
        <v>41</v>
      </c>
      <c r="C16" s="618" t="s">
        <v>300</v>
      </c>
      <c r="D16" s="618" t="s">
        <v>301</v>
      </c>
      <c r="E16" s="618" t="s">
        <v>138</v>
      </c>
      <c r="F16" s="619">
        <v>50</v>
      </c>
      <c r="G16" s="620">
        <v>1000</v>
      </c>
      <c r="H16" s="620"/>
      <c r="I16" s="621"/>
      <c r="J16" s="597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8"/>
      <c r="AA16" s="598"/>
      <c r="AB16" s="593"/>
      <c r="AC16" s="593"/>
      <c r="AD16" s="593"/>
      <c r="AE16" s="593"/>
      <c r="AF16" s="598"/>
      <c r="AG16" s="598"/>
      <c r="AH16" s="598"/>
      <c r="AI16" s="598"/>
      <c r="AJ16" s="598"/>
      <c r="AK16" s="598"/>
      <c r="AL16" s="598"/>
      <c r="AM16" s="598"/>
      <c r="AN16" s="598"/>
      <c r="AO16" s="598"/>
      <c r="AP16" s="598"/>
      <c r="AQ16" s="598"/>
      <c r="AR16" s="598"/>
      <c r="AS16" s="598"/>
      <c r="AT16" s="598"/>
      <c r="AU16" s="598"/>
      <c r="AV16" s="598"/>
      <c r="AW16" s="655"/>
      <c r="AX16" s="598"/>
      <c r="AY16" s="598"/>
      <c r="AZ16" s="598"/>
      <c r="BA16" s="598"/>
      <c r="BB16" s="598"/>
      <c r="BC16" s="598"/>
      <c r="BD16" s="598"/>
      <c r="BE16" s="598"/>
      <c r="BF16" s="598"/>
      <c r="BG16" s="598"/>
      <c r="BH16" s="598"/>
      <c r="BI16" s="598"/>
      <c r="BJ16" s="598"/>
      <c r="BK16" s="598"/>
      <c r="BL16" s="598"/>
      <c r="BM16" s="598"/>
      <c r="BN16" s="598"/>
      <c r="BO16" s="598"/>
      <c r="BP16" s="598"/>
      <c r="BQ16" s="598"/>
      <c r="BR16" s="598"/>
      <c r="BS16" s="598"/>
      <c r="BT16" s="598"/>
      <c r="BU16" s="598"/>
      <c r="BV16" s="598"/>
      <c r="BW16" s="598"/>
      <c r="BX16" s="598"/>
      <c r="BY16" s="598"/>
      <c r="BZ16" s="598"/>
      <c r="CA16" s="598"/>
      <c r="CB16" s="598"/>
      <c r="CC16" s="598"/>
      <c r="CD16" s="598"/>
      <c r="CE16" s="598"/>
      <c r="CF16" s="598"/>
      <c r="CG16" s="598"/>
      <c r="CH16" s="598"/>
      <c r="CI16" s="598"/>
      <c r="CJ16" s="598"/>
      <c r="CK16" s="598"/>
      <c r="CL16" s="598"/>
      <c r="CM16" s="598"/>
      <c r="CN16" s="598"/>
      <c r="CO16" s="598"/>
      <c r="CP16" s="598"/>
      <c r="CQ16" s="598"/>
      <c r="CR16" s="598"/>
      <c r="CS16" s="598"/>
      <c r="CT16" s="598"/>
      <c r="CU16" s="598"/>
      <c r="CV16" s="598"/>
      <c r="CW16" s="598"/>
      <c r="CX16" s="598"/>
      <c r="CY16" s="598"/>
      <c r="CZ16" s="598"/>
      <c r="DA16" s="598"/>
      <c r="DB16" s="598"/>
      <c r="DC16" s="598"/>
      <c r="DD16" s="598"/>
      <c r="DE16" s="598"/>
      <c r="DF16" s="598"/>
      <c r="DG16" s="598"/>
      <c r="DH16" s="598"/>
      <c r="DI16" s="599"/>
    </row>
    <row r="17" spans="2:113" ht="18" customHeight="1">
      <c r="B17" s="622"/>
      <c r="C17" s="623"/>
      <c r="D17" s="623"/>
      <c r="E17" s="623"/>
      <c r="F17" s="624"/>
      <c r="G17" s="625"/>
      <c r="H17" s="626" t="s">
        <v>302</v>
      </c>
      <c r="I17" s="627"/>
      <c r="J17" s="605"/>
      <c r="K17" s="606"/>
      <c r="L17" s="606"/>
      <c r="M17" s="606"/>
      <c r="N17" s="606"/>
      <c r="O17" s="606"/>
      <c r="P17" s="606"/>
      <c r="Q17" s="606"/>
      <c r="R17" s="606"/>
      <c r="S17" s="606"/>
      <c r="T17" s="606"/>
      <c r="U17" s="606"/>
      <c r="V17" s="606"/>
      <c r="W17" s="606"/>
      <c r="X17" s="606"/>
      <c r="Y17" s="606"/>
      <c r="Z17" s="606"/>
      <c r="AA17" s="606"/>
      <c r="AB17" s="606"/>
      <c r="AC17" s="606"/>
      <c r="AD17" s="606"/>
      <c r="AE17" s="601"/>
      <c r="AF17" s="606"/>
      <c r="AG17" s="606"/>
      <c r="AH17" s="606"/>
      <c r="AI17" s="606"/>
      <c r="AJ17" s="606"/>
      <c r="AK17" s="606"/>
      <c r="AL17" s="606"/>
      <c r="AM17" s="606"/>
      <c r="AN17" s="606"/>
      <c r="AO17" s="606"/>
      <c r="AP17" s="606"/>
      <c r="AQ17" s="606"/>
      <c r="AR17" s="606"/>
      <c r="AS17" s="606"/>
      <c r="AT17" s="657"/>
      <c r="AU17" s="657"/>
      <c r="AV17" s="657"/>
      <c r="AW17" s="657"/>
      <c r="AX17" s="657"/>
      <c r="AY17" s="657"/>
      <c r="AZ17" s="658"/>
      <c r="BA17" s="657" t="s">
        <v>325</v>
      </c>
      <c r="BB17" s="657"/>
      <c r="BC17" s="657"/>
      <c r="BD17" s="657"/>
      <c r="BE17" s="657"/>
      <c r="BF17" s="657"/>
      <c r="BG17" s="657"/>
      <c r="BH17" s="657"/>
      <c r="BI17" s="657"/>
      <c r="BJ17" s="657"/>
      <c r="BK17" s="657"/>
      <c r="BL17" s="657"/>
      <c r="BM17" s="657"/>
      <c r="BN17" s="657"/>
      <c r="BO17" s="657"/>
      <c r="BP17" s="657"/>
      <c r="BQ17" s="657"/>
      <c r="BR17" s="657"/>
      <c r="BS17" s="657"/>
      <c r="BT17" s="657"/>
      <c r="BU17" s="657"/>
      <c r="BV17" s="657"/>
      <c r="BW17" s="657"/>
      <c r="BX17" s="657"/>
      <c r="BY17" s="657"/>
      <c r="BZ17" s="657"/>
      <c r="CA17" s="657"/>
      <c r="CB17" s="657"/>
      <c r="CC17" s="657"/>
      <c r="CD17" s="657"/>
      <c r="CE17" s="657"/>
      <c r="CF17" s="657"/>
      <c r="CG17" s="657"/>
      <c r="CH17" s="657"/>
      <c r="CI17" s="657"/>
      <c r="CJ17" s="657"/>
      <c r="CK17" s="657"/>
      <c r="CL17" s="657"/>
      <c r="CM17" s="657"/>
      <c r="CN17" s="657"/>
      <c r="CO17" s="657"/>
      <c r="CP17" s="657"/>
      <c r="CQ17" s="657"/>
      <c r="CR17" s="657"/>
      <c r="CS17" s="657"/>
      <c r="CT17" s="657"/>
      <c r="CU17" s="657"/>
      <c r="CV17" s="657"/>
      <c r="CW17" s="657"/>
      <c r="CX17" s="657"/>
      <c r="CY17" s="657"/>
      <c r="CZ17" s="657"/>
      <c r="DA17" s="657"/>
      <c r="DB17" s="657"/>
      <c r="DC17" s="657"/>
      <c r="DD17" s="657"/>
      <c r="DE17" s="657"/>
      <c r="DF17" s="657"/>
      <c r="DG17" s="657"/>
      <c r="DH17" s="657"/>
      <c r="DI17" s="659"/>
    </row>
    <row r="18" spans="2:113" ht="18" customHeight="1">
      <c r="B18" s="617" t="s">
        <v>42</v>
      </c>
      <c r="C18" s="618" t="s">
        <v>303</v>
      </c>
      <c r="D18" s="618" t="s">
        <v>304</v>
      </c>
      <c r="E18" s="618" t="s">
        <v>138</v>
      </c>
      <c r="F18" s="619">
        <v>50</v>
      </c>
      <c r="G18" s="620">
        <v>1000</v>
      </c>
      <c r="H18" s="620"/>
      <c r="I18" s="621"/>
      <c r="J18" s="605"/>
      <c r="K18" s="606"/>
      <c r="L18" s="606"/>
      <c r="M18" s="606"/>
      <c r="N18" s="606"/>
      <c r="O18" s="606"/>
      <c r="P18" s="606"/>
      <c r="Q18" s="606"/>
      <c r="R18" s="654"/>
      <c r="S18" s="654"/>
      <c r="T18" s="606"/>
      <c r="U18" s="717"/>
      <c r="V18" s="717"/>
      <c r="W18" s="717"/>
      <c r="X18" s="717"/>
      <c r="Y18" s="606"/>
      <c r="Z18" s="601"/>
      <c r="AA18" s="601"/>
      <c r="AB18" s="601"/>
      <c r="AC18" s="606"/>
      <c r="AD18" s="606"/>
      <c r="AE18" s="606"/>
      <c r="AF18" s="606"/>
      <c r="AG18" s="606"/>
      <c r="AH18" s="606"/>
      <c r="AI18" s="606"/>
      <c r="AJ18" s="606"/>
      <c r="AK18" s="606"/>
      <c r="AL18" s="606"/>
      <c r="AM18" s="606"/>
      <c r="AN18" s="606"/>
      <c r="AO18" s="606"/>
      <c r="AP18" s="606"/>
      <c r="AQ18" s="606"/>
      <c r="AR18" s="606"/>
      <c r="AS18" s="606"/>
      <c r="AT18" s="606"/>
      <c r="AU18" s="606"/>
      <c r="AV18" s="606"/>
      <c r="AW18" s="606"/>
      <c r="AX18" s="606"/>
      <c r="AY18" s="631"/>
      <c r="AZ18" s="631"/>
      <c r="BA18" s="606"/>
      <c r="BB18" s="606"/>
      <c r="BC18" s="606"/>
      <c r="BD18" s="606"/>
      <c r="BE18" s="606"/>
      <c r="BF18" s="606"/>
      <c r="BG18" s="606"/>
      <c r="BH18" s="606"/>
      <c r="BI18" s="606"/>
      <c r="BJ18" s="606"/>
      <c r="BK18" s="606"/>
      <c r="BL18" s="606"/>
      <c r="BM18" s="606"/>
      <c r="BN18" s="606"/>
      <c r="BO18" s="606"/>
      <c r="BP18" s="606"/>
      <c r="BQ18" s="606"/>
      <c r="BS18" s="631"/>
      <c r="BT18" s="631"/>
      <c r="BU18" s="631"/>
      <c r="BV18" s="606"/>
      <c r="BW18" s="606"/>
      <c r="BX18" s="606"/>
      <c r="BY18" s="606"/>
      <c r="BZ18" s="606"/>
      <c r="CA18" s="606"/>
      <c r="CB18" s="606"/>
      <c r="CC18" s="606"/>
      <c r="CD18" s="606"/>
      <c r="CE18" s="606"/>
      <c r="CF18" s="606"/>
      <c r="CG18" s="606"/>
      <c r="CH18" s="606"/>
      <c r="CI18" s="606"/>
      <c r="CJ18" s="606"/>
      <c r="CK18" s="606"/>
      <c r="CL18" s="606"/>
      <c r="CM18" s="606"/>
      <c r="CN18" s="606"/>
      <c r="CO18" s="606"/>
      <c r="CP18" s="606"/>
      <c r="CQ18" s="606"/>
      <c r="CR18" s="606"/>
      <c r="CS18" s="606"/>
      <c r="CT18" s="606"/>
      <c r="CU18" s="606"/>
      <c r="CV18" s="606"/>
      <c r="CW18" s="606"/>
      <c r="CX18" s="606"/>
      <c r="CY18" s="606"/>
      <c r="CZ18" s="606"/>
      <c r="DA18" s="606"/>
      <c r="DB18" s="606"/>
      <c r="DC18" s="606"/>
      <c r="DD18" s="606"/>
      <c r="DE18" s="606"/>
      <c r="DF18" s="606"/>
      <c r="DG18" s="606"/>
      <c r="DH18" s="606"/>
      <c r="DI18" s="607"/>
    </row>
    <row r="19" spans="2:113" ht="18" customHeight="1">
      <c r="B19" s="628"/>
      <c r="C19" s="623"/>
      <c r="D19" s="623"/>
      <c r="E19" s="623"/>
      <c r="F19" s="624"/>
      <c r="G19" s="625"/>
      <c r="H19" s="626" t="s">
        <v>302</v>
      </c>
      <c r="I19" s="627"/>
      <c r="J19" s="605"/>
      <c r="K19" s="606"/>
      <c r="L19" s="606"/>
      <c r="M19" s="606"/>
      <c r="N19" s="606"/>
      <c r="O19" s="606"/>
      <c r="P19" s="606"/>
      <c r="Q19" s="606"/>
      <c r="R19" s="245"/>
      <c r="S19" s="606"/>
      <c r="T19" s="606"/>
      <c r="U19" s="606"/>
      <c r="V19" s="606"/>
      <c r="W19" s="606"/>
      <c r="X19" s="606"/>
      <c r="Y19" s="606"/>
      <c r="Z19" s="606"/>
      <c r="AA19" s="606"/>
      <c r="AB19" s="606"/>
      <c r="AC19" s="601"/>
      <c r="AD19" s="606"/>
      <c r="AE19" s="606"/>
      <c r="AF19" s="606"/>
      <c r="AG19" s="606"/>
      <c r="AH19" s="606"/>
      <c r="AI19" s="606"/>
      <c r="AJ19" s="606"/>
      <c r="AK19" s="606"/>
      <c r="AL19" s="606"/>
      <c r="AM19" s="606"/>
      <c r="AN19" s="606"/>
      <c r="AO19" s="606"/>
      <c r="AP19" s="606"/>
      <c r="AQ19" s="606"/>
      <c r="AR19" s="606"/>
      <c r="AS19" s="606"/>
      <c r="AT19" s="657"/>
      <c r="AU19" s="657"/>
      <c r="AV19" s="657"/>
      <c r="AW19" s="657"/>
      <c r="AX19" s="657"/>
      <c r="AY19" s="657"/>
      <c r="AZ19" s="658"/>
      <c r="BA19" s="657" t="s">
        <v>324</v>
      </c>
      <c r="BB19" s="657"/>
      <c r="BC19" s="657"/>
      <c r="BD19" s="657"/>
      <c r="BE19" s="657"/>
      <c r="BF19" s="657"/>
      <c r="BG19" s="657"/>
      <c r="BH19" s="657"/>
      <c r="BI19" s="657"/>
      <c r="BJ19" s="657"/>
      <c r="BK19" s="657"/>
      <c r="BL19" s="657"/>
      <c r="BM19" s="657"/>
      <c r="BN19" s="657"/>
      <c r="BO19" s="657"/>
      <c r="BP19" s="657"/>
      <c r="BQ19" s="657"/>
      <c r="BR19" s="657"/>
      <c r="BS19" s="657"/>
      <c r="BT19" s="658" t="s">
        <v>326</v>
      </c>
      <c r="BU19" s="657"/>
      <c r="BV19" s="657"/>
      <c r="BW19" s="657"/>
      <c r="BX19" s="658" t="s">
        <v>327</v>
      </c>
      <c r="BY19" s="657"/>
      <c r="BZ19" s="657"/>
      <c r="CA19" s="657"/>
      <c r="CB19" s="657"/>
      <c r="CC19" s="657"/>
      <c r="CD19" s="657"/>
      <c r="CE19" s="657"/>
      <c r="CF19" s="657"/>
      <c r="CG19" s="657"/>
      <c r="CH19" s="657"/>
      <c r="CI19" s="657"/>
      <c r="CJ19" s="657"/>
      <c r="CK19" s="657"/>
      <c r="CL19" s="657"/>
      <c r="CM19" s="657"/>
      <c r="CN19" s="657"/>
      <c r="CO19" s="657"/>
      <c r="CP19" s="657"/>
      <c r="CQ19" s="657"/>
      <c r="CR19" s="657"/>
      <c r="CS19" s="657"/>
      <c r="CT19" s="657"/>
      <c r="CU19" s="657"/>
      <c r="CV19" s="657"/>
      <c r="CW19" s="657"/>
      <c r="CX19" s="657"/>
      <c r="CY19" s="657"/>
      <c r="CZ19" s="657"/>
      <c r="DA19" s="657"/>
      <c r="DB19" s="657"/>
      <c r="DC19" s="657"/>
      <c r="DD19" s="657"/>
      <c r="DE19" s="657"/>
      <c r="DF19" s="657"/>
      <c r="DG19" s="657"/>
      <c r="DH19" s="657"/>
      <c r="DI19" s="659"/>
    </row>
    <row r="20" spans="2:113" ht="18" customHeight="1">
      <c r="B20" s="617" t="s">
        <v>43</v>
      </c>
      <c r="C20" s="618" t="s">
        <v>305</v>
      </c>
      <c r="D20" s="618" t="s">
        <v>306</v>
      </c>
      <c r="E20" s="618" t="s">
        <v>307</v>
      </c>
      <c r="F20" s="619">
        <v>35</v>
      </c>
      <c r="G20" s="620">
        <v>500</v>
      </c>
      <c r="H20" s="632"/>
      <c r="I20" s="630"/>
      <c r="J20" s="605"/>
      <c r="K20" s="606"/>
      <c r="L20" s="606"/>
      <c r="M20" s="606"/>
      <c r="N20" s="606"/>
      <c r="O20" s="606"/>
      <c r="P20" s="606"/>
      <c r="Q20" s="606"/>
      <c r="R20" s="606"/>
      <c r="S20" s="606"/>
      <c r="T20" s="606"/>
      <c r="U20" s="606"/>
      <c r="V20" s="606"/>
      <c r="W20" s="606"/>
      <c r="X20" s="606"/>
      <c r="Y20" s="606"/>
      <c r="Z20" s="606"/>
      <c r="AA20" s="606"/>
      <c r="AB20" s="606"/>
      <c r="AC20" s="606"/>
      <c r="AD20" s="606"/>
      <c r="AE20" s="606"/>
      <c r="AF20" s="606"/>
      <c r="AG20" s="606"/>
      <c r="AH20" s="606"/>
      <c r="AI20" s="606"/>
      <c r="AJ20" s="606"/>
      <c r="AK20" s="606"/>
      <c r="AL20" s="606"/>
      <c r="AM20" s="606"/>
      <c r="AN20" s="606"/>
      <c r="AO20" s="606"/>
      <c r="AP20" s="606"/>
      <c r="AQ20" s="606"/>
      <c r="AR20" s="606"/>
      <c r="AS20" s="606"/>
      <c r="AT20" s="606"/>
      <c r="AU20" s="606"/>
      <c r="AV20" s="606"/>
      <c r="AW20" s="631"/>
      <c r="AX20" s="606"/>
      <c r="AY20" s="606"/>
      <c r="AZ20" s="606"/>
      <c r="BA20" s="606"/>
      <c r="BB20" s="606"/>
      <c r="BC20" s="606"/>
      <c r="BD20" s="606"/>
      <c r="BE20" s="606"/>
      <c r="BF20" s="606"/>
      <c r="BG20" s="606"/>
      <c r="BH20" s="606"/>
      <c r="BI20" s="606"/>
      <c r="BJ20" s="606"/>
      <c r="BK20" s="606"/>
      <c r="BL20" s="606"/>
      <c r="BM20" s="606"/>
      <c r="BN20" s="606"/>
      <c r="BO20" s="606"/>
      <c r="BP20" s="606"/>
      <c r="BQ20" s="606"/>
      <c r="BR20" s="606"/>
      <c r="BS20" s="606"/>
      <c r="BT20" s="606"/>
      <c r="BU20" s="606"/>
      <c r="BV20" s="606"/>
      <c r="BW20" s="606"/>
      <c r="BX20" s="606"/>
      <c r="BY20" s="606"/>
      <c r="BZ20" s="606"/>
      <c r="CA20" s="606"/>
      <c r="CB20" s="606"/>
      <c r="CC20" s="606"/>
      <c r="CD20" s="606"/>
      <c r="CE20" s="606"/>
      <c r="CF20" s="606"/>
      <c r="CG20" s="606"/>
      <c r="CH20" s="606"/>
      <c r="CI20" s="606"/>
      <c r="CJ20" s="606"/>
      <c r="CK20" s="606"/>
      <c r="CL20" s="606"/>
      <c r="CM20" s="606"/>
      <c r="CN20" s="606"/>
      <c r="CO20" s="606"/>
      <c r="CP20" s="606"/>
      <c r="CQ20" s="606"/>
      <c r="CR20" s="606"/>
      <c r="CS20" s="606"/>
      <c r="CT20" s="606"/>
      <c r="CU20" s="606"/>
      <c r="CV20" s="606"/>
      <c r="CW20" s="606"/>
      <c r="CX20" s="606"/>
      <c r="CY20" s="606"/>
      <c r="CZ20" s="606"/>
      <c r="DA20" s="606"/>
      <c r="DB20" s="606"/>
      <c r="DC20" s="606"/>
      <c r="DD20" s="606"/>
      <c r="DE20" s="606"/>
      <c r="DF20" s="606"/>
      <c r="DG20" s="606"/>
      <c r="DH20" s="606"/>
      <c r="DI20" s="607"/>
    </row>
    <row r="21" spans="2:113" ht="18" customHeight="1">
      <c r="B21" s="628"/>
      <c r="C21" s="623"/>
      <c r="D21" s="623"/>
      <c r="E21" s="623"/>
      <c r="F21" s="624"/>
      <c r="G21" s="623"/>
      <c r="H21" s="626" t="s">
        <v>302</v>
      </c>
      <c r="I21" s="629"/>
      <c r="J21" s="605"/>
      <c r="K21" s="606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  <c r="Y21" s="606"/>
      <c r="Z21" s="606"/>
      <c r="AA21" s="606"/>
      <c r="AB21" s="606"/>
      <c r="AC21" s="606"/>
      <c r="AD21" s="606"/>
      <c r="AE21" s="606"/>
      <c r="AF21" s="606"/>
      <c r="AG21" s="606"/>
      <c r="AH21" s="606"/>
      <c r="AI21" s="606"/>
      <c r="AJ21" s="606"/>
      <c r="AK21" s="606"/>
      <c r="AL21" s="606"/>
      <c r="AM21" s="606"/>
      <c r="AN21" s="606"/>
      <c r="AO21" s="606"/>
      <c r="AP21" s="606"/>
      <c r="AQ21" s="601"/>
      <c r="AR21" s="606"/>
      <c r="AS21" s="606"/>
      <c r="AT21" s="657"/>
      <c r="AU21" s="657"/>
      <c r="AV21" s="657"/>
      <c r="AW21" s="662"/>
      <c r="AX21" s="658"/>
      <c r="AY21" s="657" t="s">
        <v>323</v>
      </c>
      <c r="AZ21" s="657"/>
      <c r="BA21" s="657"/>
      <c r="BB21" s="657"/>
      <c r="BC21" s="657"/>
      <c r="BD21" s="657"/>
      <c r="BE21" s="657"/>
      <c r="BF21" s="657"/>
      <c r="BG21" s="657"/>
      <c r="BH21" s="657"/>
      <c r="BI21" s="657"/>
      <c r="BJ21" s="657"/>
      <c r="BK21" s="657"/>
      <c r="BL21" s="657"/>
      <c r="BM21" s="657"/>
      <c r="BN21" s="657"/>
      <c r="BO21" s="657"/>
      <c r="BP21" s="657"/>
      <c r="BQ21" s="657"/>
      <c r="BR21" s="657"/>
      <c r="BS21" s="657"/>
      <c r="BT21" s="657"/>
      <c r="BU21" s="657"/>
      <c r="BV21" s="657"/>
      <c r="BW21" s="657"/>
      <c r="BX21" s="657"/>
      <c r="BY21" s="657"/>
      <c r="BZ21" s="657"/>
      <c r="CA21" s="657"/>
      <c r="CB21" s="657"/>
      <c r="CC21" s="657"/>
      <c r="CD21" s="657"/>
      <c r="CE21" s="657"/>
      <c r="CF21" s="657"/>
      <c r="CG21" s="657"/>
      <c r="CH21" s="657"/>
      <c r="CI21" s="657"/>
      <c r="CJ21" s="657"/>
      <c r="CK21" s="657"/>
      <c r="CL21" s="657"/>
      <c r="CM21" s="657"/>
      <c r="CN21" s="657"/>
      <c r="CO21" s="657"/>
      <c r="CP21" s="657"/>
      <c r="CQ21" s="657"/>
      <c r="CR21" s="657"/>
      <c r="CS21" s="657"/>
      <c r="CT21" s="657"/>
      <c r="CU21" s="657"/>
      <c r="CV21" s="657"/>
      <c r="CW21" s="657"/>
      <c r="CX21" s="657"/>
      <c r="CY21" s="657"/>
      <c r="CZ21" s="657"/>
      <c r="DA21" s="657"/>
      <c r="DB21" s="657"/>
      <c r="DC21" s="657"/>
      <c r="DD21" s="657"/>
      <c r="DE21" s="657"/>
      <c r="DF21" s="657"/>
      <c r="DG21" s="657"/>
      <c r="DH21" s="657"/>
      <c r="DI21" s="659"/>
    </row>
    <row r="22" spans="2:113" ht="18" customHeight="1">
      <c r="B22" s="617" t="s">
        <v>44</v>
      </c>
      <c r="C22" s="618" t="s">
        <v>305</v>
      </c>
      <c r="D22" s="618" t="s">
        <v>306</v>
      </c>
      <c r="E22" s="618" t="s">
        <v>307</v>
      </c>
      <c r="F22" s="619">
        <v>35</v>
      </c>
      <c r="G22" s="620">
        <v>1500</v>
      </c>
      <c r="H22" s="632"/>
      <c r="I22" s="630"/>
      <c r="J22" s="605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6"/>
      <c r="W22" s="606"/>
      <c r="X22" s="606"/>
      <c r="Y22" s="606"/>
      <c r="Z22" s="606"/>
      <c r="AA22" s="606"/>
      <c r="AB22" s="606"/>
      <c r="AC22" s="606"/>
      <c r="AD22" s="606"/>
      <c r="AE22" s="606"/>
      <c r="AF22" s="606"/>
      <c r="AG22" s="606"/>
      <c r="AH22" s="606"/>
      <c r="AI22" s="606"/>
      <c r="AJ22" s="606"/>
      <c r="AK22" s="606"/>
      <c r="AL22" s="606"/>
      <c r="AM22" s="606"/>
      <c r="AN22" s="606"/>
      <c r="AO22" s="606"/>
      <c r="AP22" s="606"/>
      <c r="AQ22" s="606"/>
      <c r="AR22" s="606"/>
      <c r="AS22" s="606"/>
      <c r="AT22" s="606"/>
      <c r="AU22" s="606"/>
      <c r="AV22" s="606"/>
      <c r="AW22" s="631"/>
      <c r="AX22" s="631"/>
      <c r="AY22" s="631"/>
      <c r="AZ22" s="631"/>
      <c r="BA22" s="606"/>
      <c r="BB22" s="606"/>
      <c r="BC22" s="606"/>
      <c r="BD22" s="606"/>
      <c r="BE22" s="606"/>
      <c r="BF22" s="606"/>
      <c r="BG22" s="606"/>
      <c r="BH22" s="606"/>
      <c r="BI22" s="606"/>
      <c r="BJ22" s="631"/>
      <c r="BK22" s="631"/>
      <c r="BL22" s="631"/>
      <c r="BM22" s="631"/>
      <c r="BN22" s="631"/>
      <c r="BO22" s="606"/>
      <c r="BP22" s="606"/>
      <c r="BQ22" s="606"/>
      <c r="BR22" s="606"/>
      <c r="BS22" s="606"/>
      <c r="BT22" s="606"/>
      <c r="BU22" s="606"/>
      <c r="BV22" s="606"/>
      <c r="BW22" s="606"/>
      <c r="BX22" s="606"/>
      <c r="BY22" s="606"/>
      <c r="BZ22" s="606"/>
      <c r="CA22" s="606"/>
      <c r="CB22" s="606"/>
      <c r="CC22" s="606"/>
      <c r="CD22" s="606"/>
      <c r="CE22" s="606"/>
      <c r="CF22" s="606"/>
      <c r="CG22" s="606"/>
      <c r="CH22" s="606"/>
      <c r="CI22" s="606"/>
      <c r="CJ22" s="606"/>
      <c r="CK22" s="606"/>
      <c r="CL22" s="606"/>
      <c r="CM22" s="606"/>
      <c r="CN22" s="606"/>
      <c r="CO22" s="606"/>
      <c r="CP22" s="606"/>
      <c r="CQ22" s="606"/>
      <c r="CR22" s="606"/>
      <c r="CS22" s="606"/>
      <c r="CT22" s="606"/>
      <c r="CU22" s="606"/>
      <c r="CV22" s="606"/>
      <c r="CW22" s="606"/>
      <c r="CX22" s="606"/>
      <c r="CY22" s="606"/>
      <c r="CZ22" s="606"/>
      <c r="DA22" s="606"/>
      <c r="DB22" s="606"/>
      <c r="DC22" s="606"/>
      <c r="DD22" s="606"/>
      <c r="DE22" s="606"/>
      <c r="DF22" s="606"/>
      <c r="DG22" s="606"/>
      <c r="DH22" s="606"/>
      <c r="DI22" s="607"/>
    </row>
    <row r="23" spans="2:113" ht="18" customHeight="1">
      <c r="B23" s="628"/>
      <c r="C23" s="623"/>
      <c r="D23" s="623"/>
      <c r="E23" s="623"/>
      <c r="F23" s="624"/>
      <c r="G23" s="623"/>
      <c r="H23" s="626" t="s">
        <v>302</v>
      </c>
      <c r="I23" s="629"/>
      <c r="J23" s="605"/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  <c r="Y23" s="606"/>
      <c r="Z23" s="606"/>
      <c r="AA23" s="606"/>
      <c r="AB23" s="606"/>
      <c r="AC23" s="606"/>
      <c r="AD23" s="606"/>
      <c r="AE23" s="606"/>
      <c r="AF23" s="606"/>
      <c r="AG23" s="606"/>
      <c r="AH23" s="606"/>
      <c r="AI23" s="606"/>
      <c r="AJ23" s="606"/>
      <c r="AK23" s="601"/>
      <c r="AL23" s="606"/>
      <c r="AM23" s="606"/>
      <c r="AN23" s="606"/>
      <c r="AO23" s="606"/>
      <c r="AP23" s="606"/>
      <c r="AQ23" s="606"/>
      <c r="AR23" s="606"/>
      <c r="AS23" s="606"/>
      <c r="AT23" s="657"/>
      <c r="AU23" s="657"/>
      <c r="AV23" s="657"/>
      <c r="AW23" s="657"/>
      <c r="AX23" s="657"/>
      <c r="AY23" s="657"/>
      <c r="AZ23" s="658"/>
      <c r="BA23" s="657" t="s">
        <v>322</v>
      </c>
      <c r="BB23" s="657"/>
      <c r="BC23" s="657"/>
      <c r="BD23" s="657"/>
      <c r="BE23" s="657"/>
      <c r="BF23" s="657"/>
      <c r="BG23" s="657"/>
      <c r="BH23" s="657"/>
      <c r="BI23" s="657"/>
      <c r="BJ23" s="657"/>
      <c r="BK23" s="658" t="s">
        <v>322</v>
      </c>
      <c r="BL23" s="662"/>
      <c r="BM23" s="662"/>
      <c r="BN23" s="657"/>
      <c r="BO23" s="658" t="s">
        <v>330</v>
      </c>
      <c r="BP23" s="657"/>
      <c r="BQ23" s="657"/>
      <c r="BR23" s="657"/>
      <c r="BS23" s="657"/>
      <c r="BT23" s="657"/>
      <c r="BU23" s="657"/>
      <c r="BV23" s="657"/>
      <c r="BW23" s="657"/>
      <c r="BX23" s="657"/>
      <c r="BY23" s="657"/>
      <c r="BZ23" s="657"/>
      <c r="CA23" s="657"/>
      <c r="CB23" s="657"/>
      <c r="CC23" s="657"/>
      <c r="CD23" s="657"/>
      <c r="CE23" s="657"/>
      <c r="CF23" s="657"/>
      <c r="CG23" s="657"/>
      <c r="CH23" s="657"/>
      <c r="CI23" s="657"/>
      <c r="CJ23" s="657"/>
      <c r="CK23" s="657"/>
      <c r="CL23" s="657"/>
      <c r="CM23" s="657"/>
      <c r="CN23" s="657"/>
      <c r="CO23" s="657"/>
      <c r="CP23" s="657"/>
      <c r="CQ23" s="657"/>
      <c r="CR23" s="657"/>
      <c r="CS23" s="606"/>
      <c r="CT23" s="657"/>
      <c r="CU23" s="657"/>
      <c r="CV23" s="657"/>
      <c r="CW23" s="657"/>
      <c r="CX23" s="657"/>
      <c r="CY23" s="657"/>
      <c r="CZ23" s="657"/>
      <c r="DA23" s="657"/>
      <c r="DB23" s="657"/>
      <c r="DC23" s="657"/>
      <c r="DD23" s="657"/>
      <c r="DE23" s="657"/>
      <c r="DF23" s="657"/>
      <c r="DG23" s="657"/>
      <c r="DH23" s="657"/>
      <c r="DI23" s="607"/>
    </row>
    <row r="24" spans="2:113" ht="18" customHeight="1">
      <c r="B24" s="617" t="s">
        <v>45</v>
      </c>
      <c r="C24" s="618" t="s">
        <v>305</v>
      </c>
      <c r="D24" s="618" t="s">
        <v>306</v>
      </c>
      <c r="E24" s="618" t="s">
        <v>307</v>
      </c>
      <c r="F24" s="619">
        <v>35</v>
      </c>
      <c r="G24" s="620">
        <v>2000</v>
      </c>
      <c r="H24" s="632"/>
      <c r="I24" s="630"/>
      <c r="J24" s="605"/>
      <c r="K24" s="606"/>
      <c r="L24" s="606"/>
      <c r="M24" s="606"/>
      <c r="N24" s="606"/>
      <c r="O24" s="606"/>
      <c r="P24" s="606"/>
      <c r="Q24" s="606"/>
      <c r="R24" s="606"/>
      <c r="S24" s="606"/>
      <c r="T24" s="606"/>
      <c r="U24" s="606"/>
      <c r="V24" s="606"/>
      <c r="W24" s="606"/>
      <c r="X24" s="606"/>
      <c r="Y24" s="606"/>
      <c r="Z24" s="606"/>
      <c r="AA24" s="606"/>
      <c r="AB24" s="606"/>
      <c r="AC24" s="606"/>
      <c r="AD24" s="606"/>
      <c r="AE24" s="606"/>
      <c r="AF24" s="606"/>
      <c r="AG24" s="606"/>
      <c r="AH24" s="606"/>
      <c r="AI24" s="606"/>
      <c r="AJ24" s="606"/>
      <c r="AK24" s="606"/>
      <c r="AL24" s="606"/>
      <c r="AM24" s="606"/>
      <c r="AN24" s="606"/>
      <c r="AO24" s="606"/>
      <c r="AP24" s="606"/>
      <c r="AQ24" s="606"/>
      <c r="AR24" s="606"/>
      <c r="AS24" s="606"/>
      <c r="AT24" s="606"/>
      <c r="AU24" s="606"/>
      <c r="AV24" s="606"/>
      <c r="AW24" s="606"/>
      <c r="AX24" s="606"/>
      <c r="AY24" s="606"/>
      <c r="AZ24" s="606"/>
      <c r="BA24" s="606"/>
      <c r="BB24" s="606"/>
      <c r="BC24" s="606"/>
      <c r="BD24" s="606"/>
      <c r="BE24" s="606"/>
      <c r="BF24" s="606"/>
      <c r="BG24" s="606"/>
      <c r="BH24" s="606"/>
      <c r="BI24" s="606"/>
      <c r="BJ24" s="606"/>
      <c r="BK24" s="606"/>
      <c r="BL24" s="606"/>
      <c r="BM24" s="606"/>
      <c r="BN24" s="606"/>
      <c r="BO24" s="631"/>
      <c r="BP24" s="631"/>
      <c r="BQ24" s="631"/>
      <c r="BR24" s="631"/>
      <c r="BS24" s="631"/>
      <c r="BT24" s="631"/>
      <c r="BU24" s="606"/>
      <c r="BV24" s="606"/>
      <c r="BW24" s="606"/>
      <c r="BX24" s="606"/>
      <c r="BY24" s="606"/>
      <c r="BZ24" s="606"/>
      <c r="CA24" s="606"/>
      <c r="CB24" s="606"/>
      <c r="CC24" s="606"/>
      <c r="CD24" s="606"/>
      <c r="CE24" s="606"/>
      <c r="CF24" s="606"/>
      <c r="CG24" s="606"/>
      <c r="CH24" s="606"/>
      <c r="CI24" s="606"/>
      <c r="CJ24" s="606"/>
      <c r="CK24" s="606"/>
      <c r="CL24" s="606"/>
      <c r="CM24" s="606"/>
      <c r="CN24" s="606"/>
      <c r="CO24" s="606"/>
      <c r="CP24" s="606"/>
      <c r="CQ24" s="606"/>
      <c r="CR24" s="606"/>
      <c r="CS24" s="606"/>
      <c r="CT24" s="606"/>
      <c r="CU24" s="606"/>
      <c r="CV24" s="606"/>
      <c r="CW24" s="606"/>
      <c r="CX24" s="606"/>
      <c r="CY24" s="606"/>
      <c r="CZ24" s="606"/>
      <c r="DA24" s="606"/>
      <c r="DB24" s="606"/>
      <c r="DC24" s="606"/>
      <c r="DD24" s="606"/>
      <c r="DE24" s="606"/>
      <c r="DF24" s="606"/>
      <c r="DG24" s="606"/>
      <c r="DH24" s="606"/>
      <c r="DI24" s="607"/>
    </row>
    <row r="25" spans="2:113" ht="18" customHeight="1">
      <c r="B25" s="628"/>
      <c r="C25" s="623"/>
      <c r="D25" s="623"/>
      <c r="E25" s="623"/>
      <c r="F25" s="624"/>
      <c r="G25" s="623"/>
      <c r="H25" s="626" t="s">
        <v>302</v>
      </c>
      <c r="I25" s="629"/>
      <c r="J25" s="605"/>
      <c r="K25" s="606"/>
      <c r="L25" s="606"/>
      <c r="M25" s="606"/>
      <c r="N25" s="606"/>
      <c r="O25" s="606"/>
      <c r="P25" s="606"/>
      <c r="Q25" s="606"/>
      <c r="R25" s="606"/>
      <c r="S25" s="606"/>
      <c r="T25" s="606"/>
      <c r="U25" s="606"/>
      <c r="V25" s="606"/>
      <c r="W25" s="606"/>
      <c r="X25" s="606"/>
      <c r="Y25" s="606"/>
      <c r="Z25" s="606"/>
      <c r="AA25" s="606"/>
      <c r="AB25" s="606"/>
      <c r="AC25" s="606"/>
      <c r="AD25" s="606"/>
      <c r="AE25" s="606"/>
      <c r="AF25" s="606"/>
      <c r="AG25" s="606"/>
      <c r="AH25" s="606"/>
      <c r="AI25" s="606"/>
      <c r="AJ25" s="606"/>
      <c r="AK25" s="606"/>
      <c r="AL25" s="606"/>
      <c r="AM25" s="606"/>
      <c r="AN25" s="606"/>
      <c r="AO25" s="606"/>
      <c r="AP25" s="606"/>
      <c r="AQ25" s="606"/>
      <c r="AR25" s="606"/>
      <c r="AS25" s="606"/>
      <c r="AT25" s="606"/>
      <c r="AU25" s="606"/>
      <c r="AV25" s="606"/>
      <c r="AW25" s="606"/>
      <c r="AX25" s="606"/>
      <c r="AY25" s="606"/>
      <c r="AZ25" s="606"/>
      <c r="BA25" s="606"/>
      <c r="BB25" s="606"/>
      <c r="BC25" s="606"/>
      <c r="BD25" s="606"/>
      <c r="BE25" s="606"/>
      <c r="BF25" s="606"/>
      <c r="BG25" s="606"/>
      <c r="BH25" s="606"/>
      <c r="BI25" s="606"/>
      <c r="BJ25" s="606"/>
      <c r="BK25" s="601"/>
      <c r="BL25" s="606"/>
      <c r="BM25" s="606"/>
      <c r="BN25" s="606"/>
      <c r="BO25" s="658" t="s">
        <v>331</v>
      </c>
      <c r="BP25" s="662"/>
      <c r="BQ25" s="662"/>
      <c r="BR25" s="657"/>
      <c r="BS25" s="658" t="s">
        <v>328</v>
      </c>
      <c r="BT25" s="657"/>
      <c r="BU25" s="657"/>
      <c r="BV25" s="657"/>
      <c r="BW25" s="658" t="s">
        <v>329</v>
      </c>
      <c r="BX25" s="657"/>
      <c r="BY25" s="657"/>
      <c r="BZ25" s="657"/>
      <c r="CA25" s="606"/>
      <c r="CB25" s="606"/>
      <c r="CC25" s="606"/>
      <c r="CD25" s="606"/>
      <c r="CE25" s="606"/>
      <c r="CF25" s="606"/>
      <c r="CG25" s="606"/>
      <c r="CH25" s="606"/>
      <c r="CI25" s="606"/>
      <c r="CJ25" s="606"/>
      <c r="CK25" s="606"/>
      <c r="CL25" s="606"/>
      <c r="CM25" s="606"/>
      <c r="CN25" s="606"/>
      <c r="CO25" s="606"/>
      <c r="CP25" s="606"/>
      <c r="CQ25" s="606"/>
      <c r="CR25" s="606"/>
      <c r="CS25" s="606"/>
      <c r="CT25" s="606"/>
      <c r="CU25" s="606"/>
      <c r="CV25" s="606"/>
      <c r="CW25" s="606"/>
      <c r="CX25" s="606"/>
      <c r="CY25" s="606"/>
      <c r="CZ25" s="606"/>
      <c r="DA25" s="606"/>
      <c r="DB25" s="606"/>
      <c r="DC25" s="606"/>
      <c r="DD25" s="606"/>
      <c r="DE25" s="606"/>
      <c r="DF25" s="606"/>
      <c r="DG25" s="606"/>
      <c r="DH25" s="606"/>
      <c r="DI25" s="607"/>
    </row>
    <row r="26" spans="2:113" s="245" customFormat="1" ht="18" customHeight="1">
      <c r="B26" s="617" t="s">
        <v>46</v>
      </c>
      <c r="C26" s="618" t="s">
        <v>309</v>
      </c>
      <c r="D26" s="618" t="s">
        <v>310</v>
      </c>
      <c r="E26" s="618" t="s">
        <v>138</v>
      </c>
      <c r="F26" s="619">
        <v>50</v>
      </c>
      <c r="G26" s="620">
        <v>1000</v>
      </c>
      <c r="H26" s="620"/>
      <c r="I26" s="630"/>
      <c r="J26" s="605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606"/>
      <c r="BL26" s="606"/>
      <c r="BM26" s="606"/>
      <c r="BN26" s="606"/>
      <c r="BO26" s="606"/>
      <c r="BP26" s="606"/>
      <c r="BQ26" s="606"/>
      <c r="BR26" s="606"/>
      <c r="BS26" s="606"/>
      <c r="BT26" s="606"/>
      <c r="BU26" s="606"/>
      <c r="BV26" s="631"/>
      <c r="BW26" s="631"/>
      <c r="BX26" s="631"/>
      <c r="BY26" s="631"/>
      <c r="BZ26" s="606"/>
      <c r="CA26" s="606"/>
      <c r="CB26" s="606"/>
      <c r="CC26" s="606"/>
      <c r="CD26" s="606"/>
      <c r="CE26" s="606"/>
      <c r="CF26" s="606"/>
      <c r="CG26" s="606"/>
      <c r="CH26" s="606"/>
      <c r="CI26" s="606"/>
      <c r="CJ26" s="606"/>
      <c r="CK26" s="606"/>
      <c r="CL26" s="606"/>
      <c r="CM26" s="606"/>
      <c r="CN26" s="606"/>
      <c r="CO26" s="606"/>
      <c r="CP26" s="606"/>
      <c r="CQ26" s="606"/>
      <c r="CR26" s="606"/>
      <c r="CS26" s="606"/>
      <c r="CT26" s="606"/>
      <c r="CU26" s="606"/>
      <c r="CV26" s="606"/>
      <c r="CW26" s="606"/>
      <c r="CX26" s="606"/>
      <c r="CY26" s="606"/>
      <c r="CZ26" s="606"/>
      <c r="DA26" s="606"/>
      <c r="DB26" s="606"/>
      <c r="DC26" s="606"/>
      <c r="DD26" s="606"/>
      <c r="DE26" s="606"/>
      <c r="DF26" s="606"/>
      <c r="DG26" s="606"/>
      <c r="DH26" s="606"/>
      <c r="DI26" s="607"/>
    </row>
    <row r="27" spans="2:113" s="245" customFormat="1" ht="18" customHeight="1">
      <c r="B27" s="628"/>
      <c r="C27" s="623"/>
      <c r="D27" s="623"/>
      <c r="E27" s="623"/>
      <c r="F27" s="624"/>
      <c r="G27" s="623"/>
      <c r="H27" s="626" t="s">
        <v>302</v>
      </c>
      <c r="I27" s="629"/>
      <c r="J27" s="605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1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  <c r="BX27" s="606"/>
      <c r="BY27" s="658" t="s">
        <v>332</v>
      </c>
      <c r="BZ27" s="606"/>
      <c r="CA27" s="606"/>
      <c r="CB27" s="606"/>
      <c r="CC27" s="606"/>
      <c r="CD27" s="606"/>
      <c r="CE27" s="606"/>
      <c r="CF27" s="606"/>
      <c r="CG27" s="606"/>
      <c r="CH27" s="606"/>
      <c r="CI27" s="606"/>
      <c r="CJ27" s="606"/>
      <c r="CK27" s="606"/>
      <c r="CL27" s="606"/>
      <c r="CM27" s="606"/>
      <c r="CN27" s="606"/>
      <c r="CO27" s="606"/>
      <c r="CP27" s="606"/>
      <c r="CQ27" s="606"/>
      <c r="CR27" s="606"/>
      <c r="CS27" s="606"/>
      <c r="CT27" s="606"/>
      <c r="CU27" s="606"/>
      <c r="CV27" s="606"/>
      <c r="CW27" s="606"/>
      <c r="CX27" s="606"/>
      <c r="CY27" s="606"/>
      <c r="CZ27" s="606"/>
      <c r="DA27" s="606"/>
      <c r="DB27" s="606"/>
      <c r="DC27" s="606"/>
      <c r="DD27" s="606"/>
      <c r="DE27" s="606"/>
      <c r="DF27" s="606"/>
      <c r="DG27" s="606"/>
      <c r="DH27" s="606"/>
      <c r="DI27" s="607"/>
    </row>
    <row r="28" spans="2:113" s="245" customFormat="1" ht="18" customHeight="1">
      <c r="B28" s="617" t="s">
        <v>47</v>
      </c>
      <c r="C28" s="618" t="s">
        <v>311</v>
      </c>
      <c r="D28" s="618" t="s">
        <v>312</v>
      </c>
      <c r="E28" s="618"/>
      <c r="F28" s="619">
        <v>110</v>
      </c>
      <c r="G28" s="620">
        <v>1500</v>
      </c>
      <c r="H28" s="632"/>
      <c r="I28" s="630"/>
      <c r="J28" s="605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  <c r="AG28" s="606"/>
      <c r="AH28" s="606"/>
      <c r="AI28" s="606"/>
      <c r="AJ28" s="606"/>
      <c r="AK28" s="606"/>
      <c r="AL28" s="606"/>
      <c r="AM28" s="606"/>
      <c r="AN28" s="606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606"/>
      <c r="BS28" s="606"/>
      <c r="BT28" s="606"/>
      <c r="BU28" s="606"/>
      <c r="BV28" s="606"/>
      <c r="BW28" s="606"/>
      <c r="BX28" s="606"/>
      <c r="BY28" s="631"/>
      <c r="BZ28" s="631"/>
      <c r="CA28" s="631"/>
      <c r="CB28" s="631"/>
      <c r="CC28" s="631"/>
      <c r="CD28" s="606"/>
      <c r="CE28" s="606"/>
      <c r="CF28" s="606"/>
      <c r="CG28" s="606"/>
      <c r="CH28" s="606"/>
      <c r="CI28" s="606"/>
      <c r="CJ28" s="606"/>
      <c r="CK28" s="606"/>
      <c r="CL28" s="606"/>
      <c r="CM28" s="606"/>
      <c r="CN28" s="606"/>
      <c r="CO28" s="606"/>
      <c r="CP28" s="606"/>
      <c r="CQ28" s="606"/>
      <c r="CR28" s="606"/>
      <c r="CS28" s="606"/>
      <c r="CT28" s="606"/>
      <c r="CU28" s="606"/>
      <c r="CV28" s="606"/>
      <c r="CW28" s="606"/>
      <c r="CX28" s="606"/>
      <c r="CY28" s="606"/>
      <c r="CZ28" s="606"/>
      <c r="DA28" s="606"/>
      <c r="DB28" s="606"/>
      <c r="DC28" s="606"/>
      <c r="DD28" s="606"/>
      <c r="DE28" s="606"/>
      <c r="DF28" s="606"/>
      <c r="DG28" s="606"/>
      <c r="DH28" s="606"/>
      <c r="DI28" s="607"/>
    </row>
    <row r="29" spans="2:113" s="245" customFormat="1" ht="18" customHeight="1">
      <c r="B29" s="628"/>
      <c r="C29" s="623"/>
      <c r="D29" s="623"/>
      <c r="E29" s="623"/>
      <c r="F29" s="624"/>
      <c r="G29" s="623"/>
      <c r="H29" s="626" t="s">
        <v>302</v>
      </c>
      <c r="I29" s="629"/>
      <c r="J29" s="605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6"/>
      <c r="Y29" s="606"/>
      <c r="Z29" s="606"/>
      <c r="AA29" s="606"/>
      <c r="AB29" s="606"/>
      <c r="AC29" s="606"/>
      <c r="AD29" s="606"/>
      <c r="AE29" s="606"/>
      <c r="AF29" s="606"/>
      <c r="AG29" s="606"/>
      <c r="AH29" s="606"/>
      <c r="AI29" s="606"/>
      <c r="AJ29" s="606"/>
      <c r="AK29" s="606"/>
      <c r="AL29" s="606"/>
      <c r="AM29" s="606"/>
      <c r="AN29" s="606"/>
      <c r="AO29" s="606"/>
      <c r="AP29" s="606"/>
      <c r="AQ29" s="606"/>
      <c r="AR29" s="606"/>
      <c r="AS29" s="606"/>
      <c r="AT29" s="606"/>
      <c r="AU29" s="606"/>
      <c r="AV29" s="606"/>
      <c r="AW29" s="606"/>
      <c r="AX29" s="606"/>
      <c r="AY29" s="606"/>
      <c r="AZ29" s="606"/>
      <c r="BA29" s="606"/>
      <c r="BB29" s="606"/>
      <c r="BC29" s="606"/>
      <c r="BD29" s="606"/>
      <c r="BE29" s="606"/>
      <c r="BF29" s="606"/>
      <c r="BG29" s="606"/>
      <c r="BH29" s="606"/>
      <c r="BI29" s="606"/>
      <c r="BJ29" s="606"/>
      <c r="BK29" s="606"/>
      <c r="BL29" s="606"/>
      <c r="BM29" s="606"/>
      <c r="BN29" s="606"/>
      <c r="BO29" s="606"/>
      <c r="BP29" s="601"/>
      <c r="BQ29" s="606"/>
      <c r="BR29" s="606"/>
      <c r="BS29" s="606"/>
      <c r="BT29" s="606"/>
      <c r="BU29" s="606"/>
      <c r="BV29" s="606"/>
      <c r="BW29" s="606"/>
      <c r="BX29" s="606"/>
      <c r="BY29" s="606"/>
      <c r="BZ29" s="606"/>
      <c r="CA29" s="606"/>
      <c r="CC29" s="658" t="s">
        <v>333</v>
      </c>
      <c r="CD29" s="606"/>
      <c r="CE29" s="606"/>
      <c r="CF29" s="606"/>
      <c r="CG29" s="606"/>
      <c r="CH29" s="606"/>
      <c r="CI29" s="606"/>
      <c r="CJ29" s="606"/>
      <c r="CK29" s="606"/>
      <c r="CL29" s="606"/>
      <c r="CM29" s="606"/>
      <c r="CN29" s="606"/>
      <c r="CO29" s="606"/>
      <c r="CP29" s="606"/>
      <c r="CQ29" s="606"/>
      <c r="CR29" s="606"/>
      <c r="CS29" s="606"/>
      <c r="CT29" s="606"/>
      <c r="CU29" s="606"/>
      <c r="CV29" s="606"/>
      <c r="CW29" s="606"/>
      <c r="CX29" s="606"/>
      <c r="CY29" s="606"/>
      <c r="CZ29" s="606"/>
      <c r="DA29" s="606"/>
      <c r="DB29" s="606"/>
      <c r="DC29" s="606"/>
      <c r="DD29" s="606"/>
      <c r="DE29" s="606"/>
      <c r="DF29" s="606"/>
      <c r="DG29" s="606"/>
      <c r="DH29" s="606"/>
      <c r="DI29" s="607"/>
    </row>
    <row r="30" spans="2:113" s="245" customFormat="1" ht="18" customHeight="1">
      <c r="B30" s="617" t="s">
        <v>48</v>
      </c>
      <c r="C30" s="618" t="s">
        <v>313</v>
      </c>
      <c r="D30" s="618" t="s">
        <v>314</v>
      </c>
      <c r="E30" s="618" t="s">
        <v>138</v>
      </c>
      <c r="F30" s="619">
        <v>50</v>
      </c>
      <c r="G30" s="620">
        <v>1000</v>
      </c>
      <c r="H30" s="620"/>
      <c r="I30" s="630"/>
      <c r="J30" s="605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606"/>
      <c r="AF30" s="606"/>
      <c r="AG30" s="606"/>
      <c r="AH30" s="606"/>
      <c r="AI30" s="606"/>
      <c r="AJ30" s="606"/>
      <c r="AK30" s="606"/>
      <c r="AL30" s="606"/>
      <c r="AM30" s="606"/>
      <c r="AN30" s="606"/>
      <c r="AO30" s="606"/>
      <c r="AP30" s="606"/>
      <c r="AQ30" s="606"/>
      <c r="AR30" s="606"/>
      <c r="AS30" s="606"/>
      <c r="AT30" s="606"/>
      <c r="AU30" s="606"/>
      <c r="AV30" s="606"/>
      <c r="AW30" s="606"/>
      <c r="AX30" s="606"/>
      <c r="AY30" s="606"/>
      <c r="AZ30" s="606"/>
      <c r="BA30" s="606"/>
      <c r="BB30" s="606"/>
      <c r="BC30" s="606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06"/>
      <c r="BO30" s="606"/>
      <c r="BP30" s="606"/>
      <c r="BQ30" s="606"/>
      <c r="BR30" s="606"/>
      <c r="BS30" s="606"/>
      <c r="BT30" s="606"/>
      <c r="BU30" s="606"/>
      <c r="BV30" s="606"/>
      <c r="BW30" s="606"/>
      <c r="BX30" s="606"/>
      <c r="BY30" s="606"/>
      <c r="BZ30" s="606"/>
      <c r="CA30" s="606"/>
      <c r="CB30" s="631"/>
      <c r="CC30" s="631"/>
      <c r="CD30" s="631"/>
      <c r="CE30" s="631"/>
      <c r="CF30" s="606"/>
      <c r="CG30" s="606"/>
      <c r="CH30" s="606"/>
      <c r="CI30" s="606"/>
      <c r="CJ30" s="606"/>
      <c r="CK30" s="606"/>
      <c r="CL30" s="606"/>
      <c r="CM30" s="606"/>
      <c r="CN30" s="606"/>
      <c r="CO30" s="606"/>
      <c r="CP30" s="606"/>
      <c r="CQ30" s="606"/>
      <c r="CR30" s="606"/>
      <c r="CS30" s="606"/>
      <c r="CT30" s="606"/>
      <c r="CU30" s="606"/>
      <c r="CV30" s="606"/>
      <c r="CW30" s="606"/>
      <c r="CX30" s="606"/>
      <c r="CY30" s="606"/>
      <c r="CZ30" s="606"/>
      <c r="DA30" s="606"/>
      <c r="DB30" s="606"/>
      <c r="DC30" s="606"/>
      <c r="DD30" s="606"/>
      <c r="DE30" s="606"/>
      <c r="DF30" s="606"/>
      <c r="DG30" s="606"/>
      <c r="DH30" s="606"/>
      <c r="DI30" s="607"/>
    </row>
    <row r="31" spans="2:113" s="245" customFormat="1" ht="18" customHeight="1">
      <c r="B31" s="628"/>
      <c r="C31" s="623"/>
      <c r="D31" s="623"/>
      <c r="E31" s="623"/>
      <c r="F31" s="624"/>
      <c r="G31" s="623"/>
      <c r="H31" s="626" t="s">
        <v>302</v>
      </c>
      <c r="I31" s="629"/>
      <c r="J31" s="605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6"/>
      <c r="AK31" s="606"/>
      <c r="AL31" s="606"/>
      <c r="AM31" s="606"/>
      <c r="AN31" s="606"/>
      <c r="AO31" s="606"/>
      <c r="AP31" s="606"/>
      <c r="AQ31" s="606"/>
      <c r="AR31" s="606"/>
      <c r="AS31" s="606"/>
      <c r="AT31" s="606"/>
      <c r="AU31" s="606"/>
      <c r="AV31" s="606"/>
      <c r="AW31" s="606"/>
      <c r="AX31" s="606"/>
      <c r="AY31" s="606"/>
      <c r="AZ31" s="606"/>
      <c r="BA31" s="606"/>
      <c r="BB31" s="606"/>
      <c r="BC31" s="606"/>
      <c r="BD31" s="606"/>
      <c r="BE31" s="606"/>
      <c r="BF31" s="606"/>
      <c r="BG31" s="606"/>
      <c r="BH31" s="606"/>
      <c r="BI31" s="606"/>
      <c r="BJ31" s="606"/>
      <c r="BK31" s="606"/>
      <c r="BL31" s="606"/>
      <c r="BM31" s="606"/>
      <c r="BN31" s="606"/>
      <c r="BO31" s="606"/>
      <c r="BP31" s="606"/>
      <c r="BQ31" s="606"/>
      <c r="BR31" s="606"/>
      <c r="BS31" s="606"/>
      <c r="BT31" s="601"/>
      <c r="BU31" s="606"/>
      <c r="BV31" s="606"/>
      <c r="BW31" s="606"/>
      <c r="BX31" s="606"/>
      <c r="BY31" s="606"/>
      <c r="BZ31" s="606"/>
      <c r="CA31" s="606"/>
      <c r="CB31" s="606"/>
      <c r="CC31" s="606"/>
      <c r="CE31" s="658" t="s">
        <v>332</v>
      </c>
      <c r="CF31" s="606"/>
      <c r="CG31" s="606"/>
      <c r="CH31" s="606"/>
      <c r="CI31" s="606"/>
      <c r="CJ31" s="606"/>
      <c r="CK31" s="606"/>
      <c r="CL31" s="606"/>
      <c r="CM31" s="606"/>
      <c r="CN31" s="606"/>
      <c r="CO31" s="606"/>
      <c r="CP31" s="606"/>
      <c r="CQ31" s="606"/>
      <c r="CR31" s="606"/>
      <c r="CS31" s="606"/>
      <c r="CU31" s="657"/>
      <c r="CV31" s="606"/>
      <c r="CW31" s="606"/>
      <c r="CX31" s="606"/>
      <c r="CY31" s="606"/>
      <c r="CZ31" s="606"/>
      <c r="DA31" s="606"/>
      <c r="DB31" s="606"/>
      <c r="DC31" s="606"/>
      <c r="DD31" s="606"/>
      <c r="DE31" s="606"/>
      <c r="DF31" s="606"/>
      <c r="DG31" s="606"/>
      <c r="DH31" s="606"/>
      <c r="DI31" s="607"/>
    </row>
    <row r="32" spans="2:113" s="245" customFormat="1" ht="18" customHeight="1">
      <c r="B32" s="617" t="s">
        <v>49</v>
      </c>
      <c r="C32" s="618" t="s">
        <v>315</v>
      </c>
      <c r="D32" s="618" t="s">
        <v>316</v>
      </c>
      <c r="E32" s="618" t="s">
        <v>308</v>
      </c>
      <c r="F32" s="619">
        <v>35</v>
      </c>
      <c r="G32" s="620">
        <v>2000</v>
      </c>
      <c r="H32" s="632"/>
      <c r="I32" s="630"/>
      <c r="J32" s="605"/>
      <c r="K32" s="606"/>
      <c r="L32" s="606"/>
      <c r="M32" s="606"/>
      <c r="N32" s="606"/>
      <c r="O32" s="606"/>
      <c r="P32" s="606"/>
      <c r="Q32" s="606"/>
      <c r="R32" s="606"/>
      <c r="S32" s="606"/>
      <c r="T32" s="606"/>
      <c r="U32" s="606"/>
      <c r="V32" s="606"/>
      <c r="W32" s="606"/>
      <c r="X32" s="606"/>
      <c r="Y32" s="606"/>
      <c r="Z32" s="606"/>
      <c r="AA32" s="606"/>
      <c r="AB32" s="606"/>
      <c r="AC32" s="606"/>
      <c r="AD32" s="606"/>
      <c r="AE32" s="606"/>
      <c r="AF32" s="606"/>
      <c r="AG32" s="606"/>
      <c r="AH32" s="606"/>
      <c r="AI32" s="606"/>
      <c r="AJ32" s="606"/>
      <c r="AK32" s="606"/>
      <c r="AL32" s="606"/>
      <c r="AM32" s="606"/>
      <c r="AN32" s="606"/>
      <c r="AO32" s="606"/>
      <c r="AP32" s="606"/>
      <c r="AQ32" s="606"/>
      <c r="AR32" s="606"/>
      <c r="AS32" s="606"/>
      <c r="AT32" s="606"/>
      <c r="AU32" s="606"/>
      <c r="AV32" s="606"/>
      <c r="AW32" s="606"/>
      <c r="AX32" s="606"/>
      <c r="AY32" s="606"/>
      <c r="AZ32" s="606"/>
      <c r="BA32" s="606"/>
      <c r="BB32" s="606"/>
      <c r="BC32" s="606"/>
      <c r="BD32" s="606"/>
      <c r="BE32" s="606"/>
      <c r="BF32" s="606"/>
      <c r="BG32" s="606"/>
      <c r="BH32" s="606"/>
      <c r="BI32" s="606"/>
      <c r="BJ32" s="606"/>
      <c r="BK32" s="606"/>
      <c r="BL32" s="606"/>
      <c r="BM32" s="606"/>
      <c r="BN32" s="606"/>
      <c r="BO32" s="606"/>
      <c r="BP32" s="606"/>
      <c r="BQ32" s="606"/>
      <c r="BR32" s="606"/>
      <c r="BS32" s="606"/>
      <c r="BT32" s="606"/>
      <c r="BU32" s="606"/>
      <c r="BV32" s="606"/>
      <c r="BW32" s="606"/>
      <c r="BX32" s="606"/>
      <c r="BY32" s="606"/>
      <c r="BZ32" s="606"/>
      <c r="CA32" s="606"/>
      <c r="CB32" s="606"/>
      <c r="CC32" s="606"/>
      <c r="CD32" s="606"/>
      <c r="CE32" s="631"/>
      <c r="CF32" s="631"/>
      <c r="CG32" s="631"/>
      <c r="CH32" s="631"/>
      <c r="CI32" s="631"/>
      <c r="CJ32" s="631"/>
      <c r="CK32" s="606"/>
      <c r="CL32" s="606"/>
      <c r="CM32" s="606"/>
      <c r="CN32" s="606"/>
      <c r="CO32" s="606"/>
      <c r="CP32" s="606"/>
      <c r="CQ32" s="606"/>
      <c r="CR32" s="606"/>
      <c r="CS32" s="606"/>
      <c r="CT32" s="606"/>
      <c r="CU32" s="606"/>
      <c r="CV32" s="606"/>
      <c r="CW32" s="606"/>
      <c r="CX32" s="606"/>
      <c r="CY32" s="606"/>
      <c r="CZ32" s="606"/>
      <c r="DA32" s="606"/>
      <c r="DB32" s="606"/>
      <c r="DC32" s="606"/>
      <c r="DD32" s="606"/>
      <c r="DE32" s="606"/>
      <c r="DF32" s="606"/>
      <c r="DG32" s="606"/>
      <c r="DH32" s="606"/>
      <c r="DI32" s="607"/>
    </row>
    <row r="33" spans="1:113" s="245" customFormat="1" ht="18" customHeight="1">
      <c r="B33" s="628"/>
      <c r="C33" s="623"/>
      <c r="D33" s="623"/>
      <c r="E33" s="623"/>
      <c r="F33" s="624"/>
      <c r="G33" s="623"/>
      <c r="H33" s="626" t="s">
        <v>302</v>
      </c>
      <c r="I33" s="629"/>
      <c r="J33" s="605"/>
      <c r="K33" s="606"/>
      <c r="L33" s="606"/>
      <c r="M33" s="606"/>
      <c r="N33" s="606"/>
      <c r="O33" s="606"/>
      <c r="P33" s="606"/>
      <c r="Q33" s="606"/>
      <c r="R33" s="606"/>
      <c r="S33" s="606"/>
      <c r="T33" s="606"/>
      <c r="U33" s="606"/>
      <c r="V33" s="606"/>
      <c r="W33" s="606"/>
      <c r="X33" s="606"/>
      <c r="Y33" s="606"/>
      <c r="Z33" s="606"/>
      <c r="AA33" s="606"/>
      <c r="AB33" s="606"/>
      <c r="AC33" s="606"/>
      <c r="AD33" s="606"/>
      <c r="AE33" s="606"/>
      <c r="AF33" s="606"/>
      <c r="AG33" s="606"/>
      <c r="AH33" s="606"/>
      <c r="AI33" s="606"/>
      <c r="AJ33" s="606"/>
      <c r="AK33" s="606"/>
      <c r="AL33" s="606"/>
      <c r="AM33" s="606"/>
      <c r="AN33" s="606"/>
      <c r="AO33" s="606"/>
      <c r="AP33" s="606"/>
      <c r="AQ33" s="606"/>
      <c r="AR33" s="606"/>
      <c r="AS33" s="606"/>
      <c r="AT33" s="606"/>
      <c r="AU33" s="606"/>
      <c r="AV33" s="606"/>
      <c r="AW33" s="606"/>
      <c r="AX33" s="606"/>
      <c r="AY33" s="606"/>
      <c r="AZ33" s="606"/>
      <c r="BA33" s="606"/>
      <c r="BB33" s="606"/>
      <c r="BC33" s="606"/>
      <c r="BD33" s="606"/>
      <c r="BE33" s="606"/>
      <c r="BF33" s="606"/>
      <c r="BG33" s="606"/>
      <c r="BH33" s="606"/>
      <c r="BI33" s="606"/>
      <c r="BJ33" s="606"/>
      <c r="BK33" s="606"/>
      <c r="BL33" s="606"/>
      <c r="BM33" s="606"/>
      <c r="BN33" s="606"/>
      <c r="BO33" s="606"/>
      <c r="BP33" s="606"/>
      <c r="BQ33" s="606"/>
      <c r="BR33" s="606"/>
      <c r="BS33" s="606"/>
      <c r="BT33" s="606"/>
      <c r="BU33" s="606"/>
      <c r="BV33" s="606"/>
      <c r="BW33" s="606"/>
      <c r="BZ33" s="606"/>
      <c r="CA33" s="601"/>
      <c r="CB33" s="606"/>
      <c r="CC33" s="606"/>
      <c r="CD33" s="606"/>
      <c r="CE33" s="606"/>
      <c r="CF33" s="606"/>
      <c r="CG33" s="658" t="s">
        <v>332</v>
      </c>
      <c r="CH33" s="606"/>
      <c r="CI33" s="606"/>
      <c r="CJ33" s="606"/>
      <c r="CK33" s="658" t="s">
        <v>332</v>
      </c>
      <c r="CL33" s="606"/>
      <c r="CM33" s="606"/>
      <c r="CN33" s="606"/>
      <c r="CO33" s="606"/>
      <c r="CP33" s="606"/>
      <c r="CQ33" s="606"/>
      <c r="CR33" s="606"/>
      <c r="CS33" s="606"/>
      <c r="CT33" s="606"/>
      <c r="CU33" s="606"/>
      <c r="CV33" s="606"/>
      <c r="CW33" s="657"/>
      <c r="CX33" s="606"/>
      <c r="CY33" s="606"/>
      <c r="CZ33" s="606"/>
      <c r="DA33" s="657"/>
      <c r="DB33" s="606"/>
      <c r="DC33" s="606"/>
      <c r="DD33" s="606"/>
      <c r="DE33" s="606"/>
      <c r="DF33" s="606"/>
      <c r="DG33" s="606"/>
      <c r="DH33" s="606"/>
      <c r="DI33" s="607"/>
    </row>
    <row r="34" spans="1:113" s="245" customFormat="1" ht="18" customHeight="1">
      <c r="B34" s="617" t="s">
        <v>50</v>
      </c>
      <c r="C34" s="618" t="s">
        <v>317</v>
      </c>
      <c r="D34" s="618" t="s">
        <v>318</v>
      </c>
      <c r="E34" s="618" t="s">
        <v>138</v>
      </c>
      <c r="F34" s="619">
        <v>50</v>
      </c>
      <c r="G34" s="620">
        <v>2000</v>
      </c>
      <c r="H34" s="620"/>
      <c r="I34" s="630"/>
      <c r="J34" s="605"/>
      <c r="K34" s="606"/>
      <c r="L34" s="606"/>
      <c r="M34" s="606"/>
      <c r="N34" s="606"/>
      <c r="O34" s="606"/>
      <c r="P34" s="606"/>
      <c r="Q34" s="606"/>
      <c r="R34" s="606"/>
      <c r="S34" s="606"/>
      <c r="T34" s="606"/>
      <c r="U34" s="606"/>
      <c r="V34" s="606"/>
      <c r="W34" s="606"/>
      <c r="X34" s="606"/>
      <c r="Y34" s="606"/>
      <c r="Z34" s="606"/>
      <c r="AA34" s="606"/>
      <c r="AB34" s="606"/>
      <c r="AC34" s="606"/>
      <c r="AD34" s="606"/>
      <c r="AE34" s="606"/>
      <c r="AF34" s="606"/>
      <c r="AG34" s="606"/>
      <c r="AH34" s="606"/>
      <c r="AI34" s="606"/>
      <c r="AJ34" s="606"/>
      <c r="AK34" s="606"/>
      <c r="AL34" s="606"/>
      <c r="AM34" s="606"/>
      <c r="AN34" s="606"/>
      <c r="AO34" s="606"/>
      <c r="AP34" s="606"/>
      <c r="AQ34" s="606"/>
      <c r="AR34" s="606"/>
      <c r="AS34" s="606"/>
      <c r="AT34" s="606"/>
      <c r="AU34" s="606"/>
      <c r="AV34" s="606"/>
      <c r="AW34" s="606"/>
      <c r="AX34" s="606"/>
      <c r="AY34" s="606"/>
      <c r="AZ34" s="606"/>
      <c r="BA34" s="606"/>
      <c r="BB34" s="606"/>
      <c r="BC34" s="606"/>
      <c r="BD34" s="606"/>
      <c r="BE34" s="606"/>
      <c r="BF34" s="606"/>
      <c r="BG34" s="606"/>
      <c r="BH34" s="606"/>
      <c r="BI34" s="606"/>
      <c r="BJ34" s="606"/>
      <c r="BK34" s="606"/>
      <c r="BL34" s="606"/>
      <c r="BM34" s="606"/>
      <c r="BN34" s="606"/>
      <c r="BO34" s="606"/>
      <c r="BP34" s="606"/>
      <c r="BQ34" s="606"/>
      <c r="BR34" s="606"/>
      <c r="BS34" s="606"/>
      <c r="BT34" s="606"/>
      <c r="BU34" s="606"/>
      <c r="BV34" s="606"/>
      <c r="BW34" s="606"/>
      <c r="BX34" s="606"/>
      <c r="BY34" s="606"/>
      <c r="BZ34" s="606"/>
      <c r="CA34" s="606"/>
      <c r="CB34" s="606"/>
      <c r="CC34" s="606"/>
      <c r="CD34" s="606"/>
      <c r="CE34" s="606"/>
      <c r="CF34" s="606"/>
      <c r="CG34" s="606"/>
      <c r="CH34" s="606"/>
      <c r="CI34" s="606"/>
      <c r="CJ34" s="631"/>
      <c r="CK34" s="631"/>
      <c r="CL34" s="631"/>
      <c r="CM34" s="631"/>
      <c r="CN34" s="631"/>
      <c r="CO34" s="631"/>
      <c r="CP34" s="606"/>
      <c r="CQ34" s="606"/>
      <c r="CR34" s="606"/>
      <c r="CS34" s="606"/>
      <c r="CT34" s="606"/>
      <c r="CU34" s="606"/>
      <c r="CV34" s="606"/>
      <c r="CW34" s="606"/>
      <c r="CX34" s="606"/>
      <c r="CY34" s="606"/>
      <c r="CZ34" s="606"/>
      <c r="DA34" s="606"/>
      <c r="DB34" s="606"/>
      <c r="DC34" s="606"/>
      <c r="DD34" s="606"/>
      <c r="DE34" s="606"/>
      <c r="DF34" s="606"/>
      <c r="DG34" s="606"/>
      <c r="DH34" s="606"/>
      <c r="DI34" s="607"/>
    </row>
    <row r="35" spans="1:113" s="245" customFormat="1" ht="18" customHeight="1" thickBot="1">
      <c r="B35" s="628"/>
      <c r="C35" s="623"/>
      <c r="D35" s="623"/>
      <c r="E35" s="623"/>
      <c r="F35" s="624"/>
      <c r="G35" s="623"/>
      <c r="H35" s="626" t="s">
        <v>302</v>
      </c>
      <c r="I35" s="633"/>
      <c r="J35" s="605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  <c r="Y35" s="606"/>
      <c r="Z35" s="606"/>
      <c r="AA35" s="606"/>
      <c r="AB35" s="606"/>
      <c r="AC35" s="606"/>
      <c r="AD35" s="606"/>
      <c r="AE35" s="606"/>
      <c r="AF35" s="606"/>
      <c r="AG35" s="606"/>
      <c r="AH35" s="606"/>
      <c r="AI35" s="606"/>
      <c r="AJ35" s="606"/>
      <c r="AK35" s="606"/>
      <c r="AL35" s="606"/>
      <c r="AM35" s="606"/>
      <c r="AN35" s="606"/>
      <c r="AO35" s="606"/>
      <c r="AP35" s="606"/>
      <c r="AQ35" s="606"/>
      <c r="AR35" s="606"/>
      <c r="AS35" s="606"/>
      <c r="AT35" s="606"/>
      <c r="AU35" s="606"/>
      <c r="AV35" s="606"/>
      <c r="AW35" s="606"/>
      <c r="AX35" s="606"/>
      <c r="AY35" s="606"/>
      <c r="AZ35" s="606"/>
      <c r="BA35" s="606"/>
      <c r="BB35" s="606"/>
      <c r="BC35" s="606"/>
      <c r="BD35" s="606"/>
      <c r="BE35" s="606"/>
      <c r="BF35" s="606"/>
      <c r="BG35" s="606"/>
      <c r="BH35" s="606"/>
      <c r="BI35" s="606"/>
      <c r="BJ35" s="606"/>
      <c r="BK35" s="606"/>
      <c r="BL35" s="606"/>
      <c r="BM35" s="606"/>
      <c r="BN35" s="606"/>
      <c r="BO35" s="606"/>
      <c r="BP35" s="606"/>
      <c r="BQ35" s="606"/>
      <c r="BR35" s="606"/>
      <c r="BS35" s="606"/>
      <c r="BT35" s="606"/>
      <c r="BU35" s="606"/>
      <c r="BV35" s="606"/>
      <c r="BW35" s="606"/>
      <c r="BX35" s="606"/>
      <c r="BY35" s="606"/>
      <c r="BZ35" s="606"/>
      <c r="CA35" s="606"/>
      <c r="CB35" s="606"/>
      <c r="CC35" s="606"/>
      <c r="CD35" s="606"/>
      <c r="CG35" s="606"/>
      <c r="CH35" s="601"/>
      <c r="CI35" s="606"/>
      <c r="CJ35" s="606"/>
      <c r="CK35" s="606"/>
      <c r="CL35" s="658" t="s">
        <v>332</v>
      </c>
      <c r="CM35" s="606"/>
      <c r="CN35" s="606"/>
      <c r="CO35" s="606"/>
      <c r="CP35" s="658" t="s">
        <v>332</v>
      </c>
      <c r="CQ35" s="606"/>
      <c r="CR35" s="606"/>
      <c r="CS35" s="606"/>
      <c r="CT35" s="606"/>
      <c r="CW35" s="606"/>
      <c r="CX35" s="601"/>
      <c r="CY35" s="606"/>
      <c r="CZ35" s="606"/>
      <c r="DA35" s="606"/>
      <c r="DB35" s="657"/>
      <c r="DC35" s="606"/>
      <c r="DD35" s="606"/>
      <c r="DE35" s="606"/>
      <c r="DF35" s="657"/>
      <c r="DG35" s="606"/>
      <c r="DH35" s="606"/>
      <c r="DI35" s="607"/>
    </row>
    <row r="36" spans="1:113" s="245" customFormat="1" ht="18" customHeight="1">
      <c r="B36" s="617" t="s">
        <v>51</v>
      </c>
      <c r="C36" s="618" t="s">
        <v>319</v>
      </c>
      <c r="D36" s="618" t="s">
        <v>320</v>
      </c>
      <c r="E36" s="618" t="s">
        <v>138</v>
      </c>
      <c r="F36" s="619">
        <v>50</v>
      </c>
      <c r="G36" s="620">
        <v>1000</v>
      </c>
      <c r="H36" s="620"/>
      <c r="I36" s="630"/>
      <c r="J36" s="605"/>
      <c r="K36" s="606"/>
      <c r="L36" s="606"/>
      <c r="M36" s="606"/>
      <c r="N36" s="606"/>
      <c r="O36" s="606"/>
      <c r="P36" s="606"/>
      <c r="Q36" s="606"/>
      <c r="R36" s="606"/>
      <c r="S36" s="606"/>
      <c r="T36" s="606"/>
      <c r="U36" s="606"/>
      <c r="V36" s="606"/>
      <c r="W36" s="606"/>
      <c r="X36" s="606"/>
      <c r="Y36" s="606"/>
      <c r="Z36" s="606"/>
      <c r="AA36" s="606"/>
      <c r="AB36" s="606"/>
      <c r="AC36" s="606"/>
      <c r="AD36" s="606"/>
      <c r="AE36" s="606"/>
      <c r="AF36" s="606"/>
      <c r="AG36" s="606"/>
      <c r="AH36" s="606"/>
      <c r="AI36" s="606"/>
      <c r="AJ36" s="606"/>
      <c r="AK36" s="606"/>
      <c r="AL36" s="606"/>
      <c r="AM36" s="606"/>
      <c r="AN36" s="606"/>
      <c r="AO36" s="606"/>
      <c r="AP36" s="606"/>
      <c r="AQ36" s="606"/>
      <c r="AR36" s="606"/>
      <c r="AS36" s="606"/>
      <c r="AT36" s="606"/>
      <c r="AU36" s="606"/>
      <c r="AV36" s="606"/>
      <c r="AW36" s="606"/>
      <c r="AX36" s="606"/>
      <c r="AY36" s="606"/>
      <c r="AZ36" s="606"/>
      <c r="BA36" s="606"/>
      <c r="BB36" s="606"/>
      <c r="BC36" s="606"/>
      <c r="BD36" s="606"/>
      <c r="BE36" s="606"/>
      <c r="BF36" s="606"/>
      <c r="BG36" s="606"/>
      <c r="BH36" s="606"/>
      <c r="BI36" s="606"/>
      <c r="BJ36" s="606"/>
      <c r="BK36" s="606"/>
      <c r="BL36" s="606"/>
      <c r="BM36" s="606"/>
      <c r="BN36" s="606"/>
      <c r="BO36" s="606"/>
      <c r="BP36" s="606"/>
      <c r="BQ36" s="606"/>
      <c r="BR36" s="606"/>
      <c r="BS36" s="606"/>
      <c r="BT36" s="606"/>
      <c r="BU36" s="606"/>
      <c r="BV36" s="606"/>
      <c r="BW36" s="606"/>
      <c r="BX36" s="606"/>
      <c r="BY36" s="606"/>
      <c r="BZ36" s="606"/>
      <c r="CA36" s="606"/>
      <c r="CB36" s="606"/>
      <c r="CC36" s="606"/>
      <c r="CD36" s="606"/>
      <c r="CE36" s="606"/>
      <c r="CF36" s="606"/>
      <c r="CG36" s="606"/>
      <c r="CH36" s="606"/>
      <c r="CI36" s="606"/>
      <c r="CJ36" s="606"/>
      <c r="CK36" s="606"/>
      <c r="CL36" s="606"/>
      <c r="CM36" s="606"/>
      <c r="CN36" s="606"/>
      <c r="CO36" s="631"/>
      <c r="CP36" s="631"/>
      <c r="CQ36" s="631"/>
      <c r="CR36" s="631"/>
      <c r="CS36" s="606"/>
      <c r="CT36" s="606"/>
      <c r="CU36" s="606"/>
      <c r="CV36" s="606"/>
      <c r="CW36" s="606"/>
      <c r="CX36" s="606"/>
      <c r="CY36" s="606"/>
      <c r="CZ36" s="606"/>
      <c r="DA36" s="606"/>
      <c r="DB36" s="606"/>
      <c r="DC36" s="606"/>
      <c r="DD36" s="606"/>
      <c r="DE36" s="606"/>
      <c r="DF36" s="606"/>
      <c r="DG36" s="606"/>
      <c r="DH36" s="606"/>
      <c r="DI36" s="607"/>
    </row>
    <row r="37" spans="1:113" s="245" customFormat="1" ht="18" customHeight="1" thickBot="1">
      <c r="B37" s="634"/>
      <c r="C37" s="635"/>
      <c r="D37" s="635"/>
      <c r="E37" s="635"/>
      <c r="F37" s="636"/>
      <c r="G37" s="635"/>
      <c r="H37" s="637" t="s">
        <v>302</v>
      </c>
      <c r="I37" s="633"/>
      <c r="J37" s="613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614"/>
      <c r="AB37" s="614"/>
      <c r="AC37" s="614"/>
      <c r="AD37" s="614"/>
      <c r="AE37" s="614"/>
      <c r="AF37" s="614"/>
      <c r="AG37" s="614"/>
      <c r="AH37" s="614"/>
      <c r="AI37" s="614"/>
      <c r="AJ37" s="614"/>
      <c r="AK37" s="614"/>
      <c r="AL37" s="614"/>
      <c r="AM37" s="614"/>
      <c r="AN37" s="614"/>
      <c r="AO37" s="614"/>
      <c r="AP37" s="614"/>
      <c r="AQ37" s="614"/>
      <c r="AR37" s="614"/>
      <c r="AS37" s="614"/>
      <c r="AT37" s="614"/>
      <c r="AU37" s="614"/>
      <c r="AV37" s="614"/>
      <c r="AW37" s="614"/>
      <c r="AX37" s="614"/>
      <c r="AY37" s="614"/>
      <c r="AZ37" s="614"/>
      <c r="BA37" s="614"/>
      <c r="BB37" s="614"/>
      <c r="BC37" s="614"/>
      <c r="BD37" s="614"/>
      <c r="BE37" s="614"/>
      <c r="BF37" s="614"/>
      <c r="BG37" s="614"/>
      <c r="BH37" s="614"/>
      <c r="BI37" s="614"/>
      <c r="BJ37" s="614"/>
      <c r="BK37" s="614"/>
      <c r="BL37" s="614"/>
      <c r="BM37" s="614"/>
      <c r="BN37" s="614"/>
      <c r="BO37" s="614"/>
      <c r="BP37" s="614"/>
      <c r="BQ37" s="614"/>
      <c r="BR37" s="614"/>
      <c r="BS37" s="614"/>
      <c r="BT37" s="614"/>
      <c r="BU37" s="614"/>
      <c r="BV37" s="614"/>
      <c r="BW37" s="614"/>
      <c r="BX37" s="614"/>
      <c r="BY37" s="614"/>
      <c r="BZ37" s="614"/>
      <c r="CA37" s="614"/>
      <c r="CB37" s="614"/>
      <c r="CC37" s="614"/>
      <c r="CD37" s="614"/>
      <c r="CE37" s="614"/>
      <c r="CF37" s="614"/>
      <c r="CG37" s="614"/>
      <c r="CH37" s="614"/>
      <c r="CI37" s="614"/>
      <c r="CJ37" s="614"/>
      <c r="CK37" s="614"/>
      <c r="CL37" s="609"/>
      <c r="CM37" s="614"/>
      <c r="CN37" s="614"/>
      <c r="CO37" s="614"/>
      <c r="CP37" s="614"/>
      <c r="CQ37" s="614"/>
      <c r="CR37" s="614"/>
      <c r="CS37" s="663" t="s">
        <v>332</v>
      </c>
      <c r="CT37" s="614"/>
      <c r="CU37" s="614"/>
      <c r="CV37" s="614"/>
      <c r="CW37" s="614"/>
      <c r="CX37" s="614"/>
      <c r="CY37" s="614"/>
      <c r="CZ37" s="614"/>
      <c r="DA37" s="614"/>
      <c r="DB37" s="609"/>
      <c r="DC37" s="614"/>
      <c r="DD37" s="614"/>
      <c r="DE37" s="614"/>
      <c r="DF37" s="614"/>
      <c r="DG37" s="614"/>
      <c r="DH37" s="614"/>
      <c r="DI37" s="664"/>
    </row>
    <row r="38" spans="1:113" ht="9" customHeight="1" thickBot="1">
      <c r="B38" s="638"/>
      <c r="C38" s="639"/>
      <c r="D38" s="639"/>
      <c r="E38" s="639"/>
      <c r="F38" s="640"/>
      <c r="G38" s="639"/>
      <c r="H38" s="639"/>
      <c r="I38" s="639"/>
      <c r="J38" s="639"/>
      <c r="K38" s="639"/>
      <c r="L38" s="639"/>
      <c r="M38" s="639"/>
      <c r="N38" s="639"/>
      <c r="O38" s="639"/>
      <c r="P38" s="639"/>
      <c r="Q38" s="639"/>
      <c r="R38" s="639"/>
      <c r="S38" s="639"/>
      <c r="T38" s="639"/>
      <c r="U38" s="639"/>
      <c r="V38" s="639"/>
      <c r="W38" s="639"/>
      <c r="X38" s="639"/>
      <c r="Y38" s="639"/>
      <c r="Z38" s="639"/>
      <c r="AA38" s="639"/>
      <c r="AB38" s="639"/>
      <c r="AC38" s="639"/>
      <c r="AD38" s="639"/>
      <c r="AE38" s="639"/>
      <c r="AF38" s="639"/>
      <c r="AG38" s="639"/>
      <c r="AH38" s="639"/>
      <c r="AI38" s="639"/>
      <c r="AJ38" s="639"/>
      <c r="AK38" s="639"/>
      <c r="AL38" s="639"/>
      <c r="AM38" s="639"/>
      <c r="AN38" s="639"/>
      <c r="AO38" s="639"/>
      <c r="AP38" s="639"/>
      <c r="AQ38" s="639"/>
      <c r="AR38" s="639"/>
      <c r="AS38" s="639"/>
      <c r="AT38" s="639"/>
      <c r="AU38" s="639"/>
      <c r="AV38" s="639"/>
      <c r="AW38" s="639"/>
      <c r="AX38" s="639"/>
      <c r="AY38" s="639"/>
      <c r="AZ38" s="639"/>
      <c r="BA38" s="639"/>
      <c r="BB38" s="639"/>
      <c r="BC38" s="639"/>
      <c r="BD38" s="639"/>
      <c r="BE38" s="639"/>
      <c r="BF38" s="639"/>
      <c r="BG38" s="639"/>
      <c r="BH38" s="639"/>
      <c r="BI38" s="639"/>
      <c r="BJ38" s="639"/>
      <c r="BK38" s="639"/>
      <c r="BL38" s="639"/>
      <c r="BM38" s="639"/>
      <c r="BN38" s="639"/>
      <c r="BO38" s="639"/>
      <c r="BP38" s="639"/>
      <c r="BQ38" s="639"/>
      <c r="BR38" s="639"/>
      <c r="BS38" s="639"/>
      <c r="BT38" s="639"/>
      <c r="BU38" s="639"/>
      <c r="BV38" s="639"/>
      <c r="BW38" s="639"/>
      <c r="BX38" s="639"/>
      <c r="BY38" s="639"/>
      <c r="BZ38" s="639"/>
      <c r="CA38" s="639"/>
      <c r="CB38" s="639"/>
      <c r="CC38" s="639"/>
      <c r="CD38" s="639"/>
      <c r="CE38" s="639"/>
      <c r="CF38" s="639"/>
      <c r="CG38" s="639"/>
      <c r="CH38" s="639"/>
      <c r="CI38" s="639"/>
      <c r="CJ38" s="639"/>
      <c r="CK38" s="639"/>
      <c r="CL38" s="639"/>
      <c r="CM38" s="639"/>
      <c r="CN38" s="639"/>
      <c r="CO38" s="639"/>
      <c r="CP38" s="639"/>
      <c r="CQ38" s="639"/>
      <c r="CR38" s="639"/>
      <c r="CS38" s="639"/>
      <c r="CT38" s="639"/>
      <c r="CU38" s="639"/>
      <c r="CV38" s="639"/>
      <c r="CW38" s="639"/>
      <c r="CX38" s="639"/>
      <c r="CY38" s="639"/>
      <c r="CZ38" s="639"/>
      <c r="DA38" s="639"/>
      <c r="DB38" s="639"/>
      <c r="DC38" s="639"/>
      <c r="DD38" s="639"/>
      <c r="DE38" s="639"/>
      <c r="DF38" s="639"/>
      <c r="DG38" s="639"/>
      <c r="DH38" s="639"/>
      <c r="DI38" s="639"/>
    </row>
    <row r="39" spans="1:113" s="646" customFormat="1" ht="21">
      <c r="A39" s="641"/>
      <c r="B39" s="642" t="s">
        <v>321</v>
      </c>
      <c r="C39" s="643"/>
      <c r="D39" s="643"/>
      <c r="E39" s="643"/>
      <c r="F39" s="644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/>
      <c r="AM39" s="643"/>
      <c r="AN39" s="643"/>
      <c r="AO39" s="643"/>
      <c r="AP39" s="643"/>
      <c r="AQ39" s="643"/>
      <c r="AR39" s="643"/>
      <c r="AS39" s="643"/>
      <c r="AT39" s="643"/>
      <c r="AU39" s="643"/>
      <c r="AV39" s="643"/>
      <c r="AW39" s="643"/>
      <c r="AX39" s="643"/>
      <c r="AY39" s="643"/>
      <c r="AZ39" s="643"/>
      <c r="BA39" s="643"/>
      <c r="BB39" s="643"/>
      <c r="BC39" s="643"/>
      <c r="BD39" s="643"/>
      <c r="BE39" s="643"/>
      <c r="BF39" s="643"/>
      <c r="BG39" s="643"/>
      <c r="BH39" s="643"/>
      <c r="BI39" s="643"/>
      <c r="BJ39" s="643"/>
      <c r="BK39" s="643"/>
      <c r="BL39" s="643"/>
      <c r="BM39" s="643"/>
      <c r="BN39" s="643"/>
      <c r="BO39" s="643"/>
      <c r="BP39" s="643"/>
      <c r="BQ39" s="643"/>
      <c r="BR39" s="643"/>
      <c r="BS39" s="643"/>
      <c r="BT39" s="643"/>
      <c r="BU39" s="643"/>
      <c r="BV39" s="643"/>
      <c r="BW39" s="643"/>
      <c r="BX39" s="643"/>
      <c r="BY39" s="643"/>
      <c r="BZ39" s="643"/>
      <c r="CA39" s="643"/>
      <c r="CB39" s="643"/>
      <c r="CC39" s="643"/>
      <c r="CD39" s="643"/>
      <c r="CE39" s="643"/>
      <c r="CF39" s="643"/>
      <c r="CG39" s="643"/>
      <c r="CH39" s="643"/>
      <c r="CI39" s="643"/>
      <c r="CJ39" s="643"/>
      <c r="CK39" s="643"/>
      <c r="CL39" s="643"/>
      <c r="CM39" s="643"/>
      <c r="CN39" s="643"/>
      <c r="CO39" s="643"/>
      <c r="CP39" s="643"/>
      <c r="CQ39" s="643"/>
      <c r="CR39" s="643"/>
      <c r="CS39" s="643"/>
      <c r="CT39" s="643"/>
      <c r="CU39" s="643"/>
      <c r="CV39" s="643"/>
      <c r="CW39" s="643"/>
      <c r="CX39" s="643"/>
      <c r="CY39" s="643"/>
      <c r="CZ39" s="643"/>
      <c r="DA39" s="643"/>
      <c r="DB39" s="643"/>
      <c r="DC39" s="643"/>
      <c r="DD39" s="643"/>
      <c r="DE39" s="643"/>
      <c r="DF39" s="643"/>
      <c r="DG39" s="643"/>
      <c r="DH39" s="643"/>
      <c r="DI39" s="645"/>
    </row>
    <row r="40" spans="1:113" s="649" customFormat="1" ht="18.75">
      <c r="A40" s="647"/>
      <c r="B40" s="648"/>
      <c r="C40" s="668"/>
      <c r="D40" s="668"/>
      <c r="E40" s="668"/>
      <c r="F40" s="668"/>
      <c r="G40" s="668"/>
      <c r="H40" s="668"/>
      <c r="I40" s="668"/>
      <c r="J40" s="668"/>
      <c r="K40" s="668"/>
      <c r="L40" s="668"/>
      <c r="M40" s="668"/>
      <c r="N40" s="668"/>
      <c r="O40" s="668"/>
      <c r="P40" s="668"/>
      <c r="Q40" s="668"/>
      <c r="R40" s="668"/>
      <c r="S40" s="668"/>
      <c r="T40" s="668"/>
      <c r="U40" s="668"/>
      <c r="V40" s="668"/>
      <c r="W40" s="668"/>
      <c r="X40" s="668"/>
      <c r="Y40" s="668"/>
      <c r="Z40" s="668"/>
      <c r="AA40" s="668"/>
      <c r="AB40" s="668"/>
      <c r="AC40" s="668"/>
      <c r="AD40" s="668"/>
      <c r="AE40" s="668"/>
      <c r="AF40" s="668"/>
      <c r="AG40" s="668"/>
      <c r="AH40" s="668"/>
      <c r="AI40" s="668"/>
      <c r="AJ40" s="668"/>
      <c r="AK40" s="668"/>
      <c r="AL40" s="668"/>
      <c r="AM40" s="668"/>
      <c r="AN40" s="668"/>
      <c r="AO40" s="668"/>
      <c r="AP40" s="668"/>
      <c r="AQ40" s="668"/>
      <c r="AR40" s="668"/>
      <c r="AS40" s="668"/>
      <c r="AT40" s="668"/>
      <c r="AU40" s="668"/>
      <c r="AV40" s="668"/>
      <c r="AW40" s="668"/>
      <c r="AX40" s="668"/>
      <c r="AY40" s="668"/>
      <c r="AZ40" s="668"/>
      <c r="BA40" s="668"/>
      <c r="BB40" s="668"/>
      <c r="BC40" s="668"/>
      <c r="BD40" s="668"/>
      <c r="BE40" s="668"/>
      <c r="BF40" s="668"/>
      <c r="BG40" s="668"/>
      <c r="BH40" s="668"/>
      <c r="BI40" s="668"/>
      <c r="BJ40" s="668"/>
      <c r="BK40" s="668"/>
      <c r="BL40" s="668"/>
      <c r="BM40" s="668"/>
      <c r="BN40" s="668"/>
      <c r="BO40" s="668"/>
      <c r="BP40" s="668"/>
      <c r="BQ40" s="668"/>
      <c r="BR40" s="668"/>
      <c r="BS40" s="668"/>
      <c r="BT40" s="668"/>
      <c r="BU40" s="668"/>
      <c r="BV40" s="668"/>
      <c r="BW40" s="668"/>
      <c r="BX40" s="668"/>
      <c r="BY40" s="668"/>
      <c r="BZ40" s="668"/>
      <c r="CA40" s="668"/>
      <c r="CB40" s="668"/>
      <c r="CC40" s="668"/>
      <c r="CD40" s="668"/>
      <c r="CE40" s="668"/>
      <c r="CF40" s="668"/>
      <c r="CG40" s="668"/>
      <c r="CH40" s="668"/>
      <c r="CI40" s="668"/>
      <c r="CJ40" s="668"/>
      <c r="CK40" s="668"/>
      <c r="CL40" s="668"/>
      <c r="CM40" s="668"/>
      <c r="CN40" s="668"/>
      <c r="CO40" s="668"/>
      <c r="CP40" s="668"/>
      <c r="CQ40" s="668"/>
      <c r="CR40" s="668"/>
      <c r="CS40" s="668"/>
      <c r="CT40" s="668"/>
      <c r="CU40" s="668"/>
      <c r="CV40" s="668"/>
      <c r="CW40" s="668"/>
      <c r="CX40" s="668"/>
      <c r="CY40" s="668"/>
      <c r="CZ40" s="668"/>
      <c r="DA40" s="668"/>
      <c r="DB40" s="668"/>
      <c r="DC40" s="668"/>
      <c r="DD40" s="668"/>
      <c r="DE40" s="668"/>
      <c r="DF40" s="668"/>
      <c r="DG40" s="668"/>
      <c r="DH40" s="668"/>
      <c r="DI40" s="665"/>
    </row>
    <row r="41" spans="1:113" s="649" customFormat="1" ht="18.75">
      <c r="A41" s="647"/>
      <c r="B41" s="650"/>
      <c r="C41" s="668"/>
      <c r="D41" s="668"/>
      <c r="E41" s="668"/>
      <c r="F41" s="668"/>
      <c r="G41" s="668"/>
      <c r="H41" s="668"/>
      <c r="I41" s="668"/>
      <c r="J41" s="668"/>
      <c r="K41" s="668"/>
      <c r="L41" s="668"/>
      <c r="M41" s="668"/>
      <c r="N41" s="668"/>
      <c r="O41" s="668"/>
      <c r="P41" s="668"/>
      <c r="Q41" s="668"/>
      <c r="R41" s="668"/>
      <c r="S41" s="668"/>
      <c r="T41" s="668"/>
      <c r="U41" s="668"/>
      <c r="V41" s="668"/>
      <c r="W41" s="668"/>
      <c r="X41" s="668"/>
      <c r="Y41" s="668"/>
      <c r="Z41" s="668"/>
      <c r="AA41" s="668"/>
      <c r="AB41" s="668"/>
      <c r="AC41" s="668"/>
      <c r="AD41" s="668"/>
      <c r="AE41" s="668"/>
      <c r="AF41" s="668"/>
      <c r="AG41" s="668"/>
      <c r="AH41" s="668"/>
      <c r="AI41" s="668"/>
      <c r="AJ41" s="668"/>
      <c r="AK41" s="668"/>
      <c r="AL41" s="668"/>
      <c r="AM41" s="668"/>
      <c r="AN41" s="668"/>
      <c r="AO41" s="668"/>
      <c r="AP41" s="668"/>
      <c r="AQ41" s="668"/>
      <c r="AR41" s="668"/>
      <c r="AS41" s="668"/>
      <c r="AT41" s="668"/>
      <c r="AU41" s="668"/>
      <c r="AV41" s="668"/>
      <c r="AW41" s="668"/>
      <c r="AX41" s="668"/>
      <c r="AY41" s="668"/>
      <c r="AZ41" s="668"/>
      <c r="BA41" s="668"/>
      <c r="BB41" s="668"/>
      <c r="BC41" s="668"/>
      <c r="BD41" s="668"/>
      <c r="BE41" s="668"/>
      <c r="BF41" s="668"/>
      <c r="BG41" s="668"/>
      <c r="BH41" s="668"/>
      <c r="BI41" s="668"/>
      <c r="BJ41" s="668"/>
      <c r="BK41" s="668"/>
      <c r="BL41" s="668"/>
      <c r="BM41" s="668"/>
      <c r="BN41" s="668"/>
      <c r="BO41" s="668"/>
      <c r="BP41" s="668"/>
      <c r="BQ41" s="668"/>
      <c r="BR41" s="668"/>
      <c r="BS41" s="668"/>
      <c r="BT41" s="668"/>
      <c r="BU41" s="668"/>
      <c r="BV41" s="668"/>
      <c r="BW41" s="668"/>
      <c r="BX41" s="668"/>
      <c r="BY41" s="668"/>
      <c r="BZ41" s="668"/>
      <c r="CA41" s="668"/>
      <c r="CB41" s="668"/>
      <c r="CC41" s="668"/>
      <c r="CD41" s="668"/>
      <c r="CE41" s="668"/>
      <c r="CF41" s="668"/>
      <c r="CG41" s="668"/>
      <c r="CH41" s="668"/>
      <c r="CI41" s="668"/>
      <c r="CJ41" s="668"/>
      <c r="CK41" s="668"/>
      <c r="CL41" s="668"/>
      <c r="CM41" s="668"/>
      <c r="CN41" s="668"/>
      <c r="CO41" s="668"/>
      <c r="CP41" s="668"/>
      <c r="CQ41" s="668"/>
      <c r="CR41" s="668"/>
      <c r="CS41" s="668"/>
      <c r="CT41" s="668"/>
      <c r="CU41" s="668"/>
      <c r="CV41" s="668"/>
      <c r="CW41" s="668"/>
      <c r="CX41" s="668"/>
      <c r="CY41" s="668"/>
      <c r="CZ41" s="668"/>
      <c r="DA41" s="668"/>
      <c r="DB41" s="668"/>
      <c r="DC41" s="668"/>
      <c r="DD41" s="668"/>
      <c r="DE41" s="668"/>
      <c r="DF41" s="668"/>
      <c r="DG41" s="668"/>
      <c r="DH41" s="668"/>
      <c r="DI41" s="665"/>
    </row>
    <row r="42" spans="1:113" s="649" customFormat="1" ht="18.75">
      <c r="A42" s="647"/>
      <c r="B42" s="650"/>
      <c r="C42" s="668"/>
      <c r="D42" s="668"/>
      <c r="E42" s="668"/>
      <c r="F42" s="668"/>
      <c r="G42" s="668"/>
      <c r="H42" s="668"/>
      <c r="I42" s="668"/>
      <c r="J42" s="668"/>
      <c r="K42" s="668"/>
      <c r="L42" s="668"/>
      <c r="M42" s="668"/>
      <c r="N42" s="668"/>
      <c r="O42" s="668"/>
      <c r="P42" s="668"/>
      <c r="Q42" s="668"/>
      <c r="R42" s="668"/>
      <c r="S42" s="668"/>
      <c r="T42" s="668"/>
      <c r="U42" s="668"/>
      <c r="V42" s="668"/>
      <c r="W42" s="668"/>
      <c r="X42" s="668"/>
      <c r="Y42" s="668"/>
      <c r="Z42" s="668"/>
      <c r="AA42" s="668"/>
      <c r="AB42" s="668"/>
      <c r="AC42" s="668"/>
      <c r="AD42" s="668"/>
      <c r="AE42" s="668"/>
      <c r="AF42" s="668"/>
      <c r="AG42" s="668"/>
      <c r="AH42" s="668"/>
      <c r="AI42" s="668"/>
      <c r="AJ42" s="668"/>
      <c r="AK42" s="668"/>
      <c r="AL42" s="668"/>
      <c r="AM42" s="668"/>
      <c r="AN42" s="668"/>
      <c r="AO42" s="668"/>
      <c r="AP42" s="668"/>
      <c r="AQ42" s="668"/>
      <c r="AR42" s="668"/>
      <c r="AS42" s="668"/>
      <c r="AT42" s="668"/>
      <c r="AU42" s="668"/>
      <c r="AV42" s="668"/>
      <c r="AW42" s="668"/>
      <c r="AX42" s="668"/>
      <c r="AY42" s="668"/>
      <c r="AZ42" s="668"/>
      <c r="BA42" s="668"/>
      <c r="BB42" s="668"/>
      <c r="BC42" s="668"/>
      <c r="BD42" s="668"/>
      <c r="BE42" s="668"/>
      <c r="BF42" s="668"/>
      <c r="BG42" s="668"/>
      <c r="BH42" s="668"/>
      <c r="BI42" s="668"/>
      <c r="BJ42" s="668"/>
      <c r="BK42" s="668"/>
      <c r="BL42" s="668"/>
      <c r="BM42" s="668"/>
      <c r="BN42" s="668"/>
      <c r="BO42" s="668"/>
      <c r="BP42" s="668"/>
      <c r="BQ42" s="668"/>
      <c r="BR42" s="668"/>
      <c r="BS42" s="668"/>
      <c r="BT42" s="668"/>
      <c r="BU42" s="668"/>
      <c r="BV42" s="668"/>
      <c r="BW42" s="668"/>
      <c r="BX42" s="668"/>
      <c r="BY42" s="668"/>
      <c r="BZ42" s="668"/>
      <c r="CA42" s="668"/>
      <c r="CB42" s="668"/>
      <c r="CC42" s="668"/>
      <c r="CD42" s="668"/>
      <c r="CE42" s="668"/>
      <c r="CF42" s="668"/>
      <c r="CG42" s="668"/>
      <c r="CH42" s="668"/>
      <c r="CI42" s="668"/>
      <c r="CJ42" s="668"/>
      <c r="CK42" s="668"/>
      <c r="CL42" s="668"/>
      <c r="CM42" s="668"/>
      <c r="CN42" s="668"/>
      <c r="CO42" s="668"/>
      <c r="CP42" s="668"/>
      <c r="CQ42" s="668"/>
      <c r="CR42" s="668"/>
      <c r="CS42" s="668"/>
      <c r="CT42" s="668"/>
      <c r="CU42" s="668"/>
      <c r="CV42" s="668"/>
      <c r="CW42" s="668"/>
      <c r="CX42" s="668"/>
      <c r="CY42" s="668"/>
      <c r="CZ42" s="668"/>
      <c r="DA42" s="668"/>
      <c r="DB42" s="668"/>
      <c r="DC42" s="668"/>
      <c r="DD42" s="668"/>
      <c r="DE42" s="668"/>
      <c r="DF42" s="668"/>
      <c r="DG42" s="668"/>
      <c r="DH42" s="668"/>
      <c r="DI42" s="665"/>
    </row>
    <row r="43" spans="1:113" s="649" customFormat="1" ht="18.75">
      <c r="A43" s="647"/>
      <c r="B43" s="650"/>
      <c r="C43" s="668"/>
      <c r="D43" s="668"/>
      <c r="E43" s="668"/>
      <c r="F43" s="668"/>
      <c r="G43" s="668"/>
      <c r="H43" s="668"/>
      <c r="I43" s="668"/>
      <c r="J43" s="668"/>
      <c r="K43" s="668"/>
      <c r="L43" s="668"/>
      <c r="M43" s="668"/>
      <c r="N43" s="668"/>
      <c r="O43" s="668"/>
      <c r="P43" s="668"/>
      <c r="Q43" s="668"/>
      <c r="R43" s="668"/>
      <c r="S43" s="668"/>
      <c r="T43" s="668"/>
      <c r="U43" s="668"/>
      <c r="V43" s="668"/>
      <c r="W43" s="668"/>
      <c r="X43" s="668"/>
      <c r="Y43" s="668"/>
      <c r="Z43" s="668"/>
      <c r="AA43" s="668"/>
      <c r="AB43" s="668"/>
      <c r="AC43" s="668"/>
      <c r="AD43" s="668"/>
      <c r="AE43" s="668"/>
      <c r="AF43" s="668"/>
      <c r="AG43" s="668"/>
      <c r="AH43" s="668"/>
      <c r="AI43" s="668"/>
      <c r="AJ43" s="668"/>
      <c r="AK43" s="668"/>
      <c r="AL43" s="668"/>
      <c r="AM43" s="668"/>
      <c r="AN43" s="668"/>
      <c r="AO43" s="668"/>
      <c r="AP43" s="668"/>
      <c r="AQ43" s="668"/>
      <c r="AR43" s="668"/>
      <c r="AS43" s="668"/>
      <c r="AT43" s="668"/>
      <c r="AU43" s="668"/>
      <c r="AV43" s="668"/>
      <c r="AW43" s="668"/>
      <c r="AX43" s="668"/>
      <c r="AY43" s="668"/>
      <c r="AZ43" s="668"/>
      <c r="BA43" s="668"/>
      <c r="BB43" s="668"/>
      <c r="BC43" s="668"/>
      <c r="BD43" s="668"/>
      <c r="BE43" s="668"/>
      <c r="BF43" s="668"/>
      <c r="BG43" s="668"/>
      <c r="BH43" s="668"/>
      <c r="BI43" s="668"/>
      <c r="BJ43" s="668"/>
      <c r="BK43" s="668"/>
      <c r="BL43" s="668"/>
      <c r="BM43" s="668"/>
      <c r="BN43" s="668"/>
      <c r="BO43" s="668"/>
      <c r="BP43" s="668"/>
      <c r="BQ43" s="668"/>
      <c r="BR43" s="668"/>
      <c r="BS43" s="668"/>
      <c r="BT43" s="668"/>
      <c r="BU43" s="668"/>
      <c r="BV43" s="668"/>
      <c r="BW43" s="668"/>
      <c r="BX43" s="668"/>
      <c r="BY43" s="668"/>
      <c r="BZ43" s="668"/>
      <c r="CA43" s="668"/>
      <c r="CB43" s="668"/>
      <c r="CC43" s="668"/>
      <c r="CD43" s="668"/>
      <c r="CE43" s="668"/>
      <c r="CF43" s="668"/>
      <c r="CG43" s="668"/>
      <c r="CH43" s="668"/>
      <c r="CI43" s="668"/>
      <c r="CJ43" s="668"/>
      <c r="CK43" s="668"/>
      <c r="CL43" s="668"/>
      <c r="CM43" s="668"/>
      <c r="CN43" s="668"/>
      <c r="CO43" s="668"/>
      <c r="CP43" s="668"/>
      <c r="CQ43" s="668"/>
      <c r="CR43" s="668"/>
      <c r="CS43" s="668"/>
      <c r="CT43" s="668"/>
      <c r="CU43" s="668"/>
      <c r="CV43" s="668"/>
      <c r="CW43" s="668"/>
      <c r="CX43" s="668"/>
      <c r="CY43" s="668"/>
      <c r="CZ43" s="668"/>
      <c r="DA43" s="668"/>
      <c r="DB43" s="668"/>
      <c r="DC43" s="668"/>
      <c r="DD43" s="668"/>
      <c r="DE43" s="668"/>
      <c r="DF43" s="668"/>
      <c r="DG43" s="668"/>
      <c r="DH43" s="668"/>
      <c r="DI43" s="665"/>
    </row>
    <row r="44" spans="1:113" s="649" customFormat="1" ht="18.75">
      <c r="A44" s="647"/>
      <c r="B44" s="650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668"/>
      <c r="AB44" s="668"/>
      <c r="AC44" s="668"/>
      <c r="AD44" s="668"/>
      <c r="AE44" s="668"/>
      <c r="AF44" s="668"/>
      <c r="AG44" s="668"/>
      <c r="AH44" s="668"/>
      <c r="AI44" s="668"/>
      <c r="AJ44" s="668"/>
      <c r="AK44" s="668"/>
      <c r="AL44" s="668"/>
      <c r="AM44" s="668"/>
      <c r="AN44" s="668"/>
      <c r="AO44" s="668"/>
      <c r="AP44" s="668"/>
      <c r="AQ44" s="668"/>
      <c r="AR44" s="668"/>
      <c r="AS44" s="668"/>
      <c r="AT44" s="668"/>
      <c r="AU44" s="668"/>
      <c r="AV44" s="668"/>
      <c r="AW44" s="668"/>
      <c r="AX44" s="668"/>
      <c r="AY44" s="668"/>
      <c r="AZ44" s="668"/>
      <c r="BA44" s="668"/>
      <c r="BB44" s="668"/>
      <c r="BC44" s="668"/>
      <c r="BD44" s="668"/>
      <c r="BE44" s="668"/>
      <c r="BF44" s="668"/>
      <c r="BG44" s="668"/>
      <c r="BH44" s="668"/>
      <c r="BI44" s="668"/>
      <c r="BJ44" s="668"/>
      <c r="BK44" s="668"/>
      <c r="BL44" s="668"/>
      <c r="BM44" s="668"/>
      <c r="BN44" s="668"/>
      <c r="BO44" s="668"/>
      <c r="BP44" s="668"/>
      <c r="BQ44" s="668"/>
      <c r="BR44" s="668"/>
      <c r="BS44" s="668"/>
      <c r="BT44" s="668"/>
      <c r="BU44" s="668"/>
      <c r="BV44" s="668"/>
      <c r="BW44" s="668"/>
      <c r="BX44" s="668"/>
      <c r="BY44" s="668"/>
      <c r="BZ44" s="668"/>
      <c r="CA44" s="668"/>
      <c r="CB44" s="668"/>
      <c r="CC44" s="668"/>
      <c r="CD44" s="668"/>
      <c r="CE44" s="668"/>
      <c r="CF44" s="668"/>
      <c r="CG44" s="668"/>
      <c r="CH44" s="668"/>
      <c r="CI44" s="668"/>
      <c r="CJ44" s="668"/>
      <c r="CK44" s="668"/>
      <c r="CL44" s="668"/>
      <c r="CM44" s="668"/>
      <c r="CN44" s="668"/>
      <c r="CO44" s="668"/>
      <c r="CP44" s="668"/>
      <c r="CQ44" s="668"/>
      <c r="CR44" s="668"/>
      <c r="CS44" s="668"/>
      <c r="CT44" s="668"/>
      <c r="CU44" s="668"/>
      <c r="CV44" s="668"/>
      <c r="CW44" s="668"/>
      <c r="CX44" s="668"/>
      <c r="CY44" s="668"/>
      <c r="CZ44" s="668"/>
      <c r="DA44" s="668"/>
      <c r="DB44" s="668"/>
      <c r="DC44" s="668"/>
      <c r="DD44" s="668"/>
      <c r="DE44" s="668"/>
      <c r="DF44" s="668"/>
      <c r="DG44" s="668"/>
      <c r="DH44" s="668"/>
      <c r="DI44" s="665"/>
    </row>
    <row r="45" spans="1:113" s="649" customFormat="1" ht="18.75">
      <c r="A45" s="647"/>
      <c r="B45" s="650"/>
      <c r="C45" s="668"/>
      <c r="D45" s="668"/>
      <c r="E45" s="668"/>
      <c r="F45" s="668"/>
      <c r="G45" s="668"/>
      <c r="H45" s="668"/>
      <c r="I45" s="668"/>
      <c r="J45" s="668"/>
      <c r="K45" s="668"/>
      <c r="L45" s="668"/>
      <c r="M45" s="668"/>
      <c r="N45" s="668"/>
      <c r="O45" s="668"/>
      <c r="P45" s="668"/>
      <c r="Q45" s="668"/>
      <c r="R45" s="668"/>
      <c r="S45" s="668"/>
      <c r="T45" s="668"/>
      <c r="U45" s="668"/>
      <c r="V45" s="668"/>
      <c r="W45" s="668"/>
      <c r="X45" s="668"/>
      <c r="Y45" s="668"/>
      <c r="Z45" s="668"/>
      <c r="AA45" s="668"/>
      <c r="AB45" s="668"/>
      <c r="AC45" s="668"/>
      <c r="AD45" s="668"/>
      <c r="AE45" s="668"/>
      <c r="AF45" s="668"/>
      <c r="AG45" s="668"/>
      <c r="AH45" s="668"/>
      <c r="AI45" s="668"/>
      <c r="AJ45" s="668"/>
      <c r="AK45" s="668"/>
      <c r="AL45" s="668"/>
      <c r="AM45" s="668"/>
      <c r="AN45" s="668"/>
      <c r="AO45" s="668"/>
      <c r="AP45" s="668"/>
      <c r="AQ45" s="668"/>
      <c r="AR45" s="668"/>
      <c r="AS45" s="668"/>
      <c r="AT45" s="668"/>
      <c r="AU45" s="668"/>
      <c r="AV45" s="668"/>
      <c r="AW45" s="668"/>
      <c r="AX45" s="668"/>
      <c r="AY45" s="668"/>
      <c r="AZ45" s="668"/>
      <c r="BA45" s="668"/>
      <c r="BB45" s="668"/>
      <c r="BC45" s="668"/>
      <c r="BD45" s="668"/>
      <c r="BE45" s="668"/>
      <c r="BF45" s="668"/>
      <c r="BG45" s="668"/>
      <c r="BH45" s="668"/>
      <c r="BI45" s="668"/>
      <c r="BJ45" s="668"/>
      <c r="BK45" s="668"/>
      <c r="BL45" s="668"/>
      <c r="BM45" s="668"/>
      <c r="BN45" s="668"/>
      <c r="BO45" s="668"/>
      <c r="BP45" s="668"/>
      <c r="BQ45" s="668"/>
      <c r="BR45" s="668"/>
      <c r="BS45" s="668"/>
      <c r="BT45" s="668"/>
      <c r="BU45" s="668"/>
      <c r="BV45" s="668"/>
      <c r="BW45" s="668"/>
      <c r="BX45" s="668"/>
      <c r="BY45" s="668"/>
      <c r="BZ45" s="668"/>
      <c r="CA45" s="668"/>
      <c r="CB45" s="668"/>
      <c r="CC45" s="668"/>
      <c r="CD45" s="668"/>
      <c r="CE45" s="668"/>
      <c r="CF45" s="668"/>
      <c r="CG45" s="668"/>
      <c r="CH45" s="668"/>
      <c r="CI45" s="668"/>
      <c r="CJ45" s="668"/>
      <c r="CK45" s="668"/>
      <c r="CL45" s="668"/>
      <c r="CM45" s="668"/>
      <c r="CN45" s="668"/>
      <c r="CO45" s="668"/>
      <c r="CP45" s="668"/>
      <c r="CQ45" s="668"/>
      <c r="CR45" s="668"/>
      <c r="CS45" s="668"/>
      <c r="CT45" s="668"/>
      <c r="CU45" s="668"/>
      <c r="CV45" s="668"/>
      <c r="CW45" s="668"/>
      <c r="CX45" s="668"/>
      <c r="CY45" s="668"/>
      <c r="CZ45" s="668"/>
      <c r="DA45" s="668"/>
      <c r="DB45" s="668"/>
      <c r="DC45" s="668"/>
      <c r="DD45" s="668"/>
      <c r="DE45" s="668"/>
      <c r="DF45" s="668"/>
      <c r="DG45" s="668"/>
      <c r="DH45" s="668"/>
      <c r="DI45" s="665"/>
    </row>
    <row r="46" spans="1:113" s="649" customFormat="1" ht="18.75">
      <c r="A46" s="647"/>
      <c r="B46" s="650"/>
      <c r="C46" s="668"/>
      <c r="D46" s="668"/>
      <c r="E46" s="668"/>
      <c r="F46" s="668"/>
      <c r="G46" s="668"/>
      <c r="H46" s="668"/>
      <c r="I46" s="668"/>
      <c r="J46" s="668"/>
      <c r="K46" s="668"/>
      <c r="L46" s="668"/>
      <c r="M46" s="668"/>
      <c r="N46" s="668"/>
      <c r="O46" s="668"/>
      <c r="P46" s="668"/>
      <c r="Q46" s="668"/>
      <c r="R46" s="668"/>
      <c r="S46" s="668"/>
      <c r="T46" s="668"/>
      <c r="U46" s="668"/>
      <c r="V46" s="668"/>
      <c r="W46" s="668"/>
      <c r="X46" s="668"/>
      <c r="Y46" s="668"/>
      <c r="Z46" s="668"/>
      <c r="AA46" s="668"/>
      <c r="AB46" s="668"/>
      <c r="AC46" s="668"/>
      <c r="AD46" s="668"/>
      <c r="AE46" s="668"/>
      <c r="AF46" s="668"/>
      <c r="AG46" s="668"/>
      <c r="AH46" s="668"/>
      <c r="AI46" s="668"/>
      <c r="AJ46" s="668"/>
      <c r="AK46" s="668"/>
      <c r="AL46" s="668"/>
      <c r="AM46" s="668"/>
      <c r="AN46" s="668"/>
      <c r="AO46" s="668"/>
      <c r="AP46" s="668"/>
      <c r="AQ46" s="668"/>
      <c r="AR46" s="668"/>
      <c r="AS46" s="668"/>
      <c r="AT46" s="668"/>
      <c r="AU46" s="668"/>
      <c r="AV46" s="668"/>
      <c r="AW46" s="668"/>
      <c r="AX46" s="668"/>
      <c r="AY46" s="668"/>
      <c r="AZ46" s="668"/>
      <c r="BA46" s="668"/>
      <c r="BB46" s="668"/>
      <c r="BC46" s="668"/>
      <c r="BD46" s="668"/>
      <c r="BE46" s="668"/>
      <c r="BF46" s="668"/>
      <c r="BG46" s="668"/>
      <c r="BH46" s="668"/>
      <c r="BI46" s="668"/>
      <c r="BJ46" s="668"/>
      <c r="BK46" s="668"/>
      <c r="BL46" s="668"/>
      <c r="BM46" s="668"/>
      <c r="BN46" s="668"/>
      <c r="BO46" s="668"/>
      <c r="BP46" s="668"/>
      <c r="BQ46" s="668"/>
      <c r="BR46" s="668"/>
      <c r="BS46" s="668"/>
      <c r="BT46" s="668"/>
      <c r="BU46" s="668"/>
      <c r="BV46" s="668"/>
      <c r="BW46" s="668"/>
      <c r="BX46" s="668"/>
      <c r="BY46" s="668"/>
      <c r="BZ46" s="668"/>
      <c r="CA46" s="668"/>
      <c r="CB46" s="668"/>
      <c r="CC46" s="668"/>
      <c r="CD46" s="668"/>
      <c r="CE46" s="668"/>
      <c r="CF46" s="668"/>
      <c r="CG46" s="668"/>
      <c r="CH46" s="668"/>
      <c r="CI46" s="668"/>
      <c r="CJ46" s="668"/>
      <c r="CK46" s="668"/>
      <c r="CL46" s="668"/>
      <c r="CM46" s="668"/>
      <c r="CN46" s="668"/>
      <c r="CO46" s="668"/>
      <c r="CP46" s="668"/>
      <c r="CQ46" s="668"/>
      <c r="CR46" s="668"/>
      <c r="CS46" s="668"/>
      <c r="CT46" s="668"/>
      <c r="CU46" s="668"/>
      <c r="CV46" s="668"/>
      <c r="CW46" s="668"/>
      <c r="CX46" s="668"/>
      <c r="CY46" s="668"/>
      <c r="CZ46" s="668"/>
      <c r="DA46" s="668"/>
      <c r="DB46" s="668"/>
      <c r="DC46" s="668"/>
      <c r="DD46" s="668"/>
      <c r="DE46" s="668"/>
      <c r="DF46" s="668"/>
      <c r="DG46" s="668"/>
      <c r="DH46" s="668"/>
      <c r="DI46" s="665"/>
    </row>
    <row r="47" spans="1:113" s="649" customFormat="1" ht="18.75">
      <c r="A47" s="647"/>
      <c r="B47" s="650"/>
      <c r="C47" s="668"/>
      <c r="D47" s="668"/>
      <c r="E47" s="668"/>
      <c r="F47" s="668"/>
      <c r="G47" s="668"/>
      <c r="H47" s="668"/>
      <c r="I47" s="668"/>
      <c r="J47" s="668"/>
      <c r="K47" s="668"/>
      <c r="L47" s="668"/>
      <c r="M47" s="668"/>
      <c r="N47" s="668"/>
      <c r="O47" s="668"/>
      <c r="P47" s="668"/>
      <c r="Q47" s="668"/>
      <c r="R47" s="668"/>
      <c r="S47" s="668"/>
      <c r="T47" s="668"/>
      <c r="U47" s="668"/>
      <c r="V47" s="668"/>
      <c r="W47" s="668"/>
      <c r="X47" s="668"/>
      <c r="Y47" s="668"/>
      <c r="Z47" s="668"/>
      <c r="AA47" s="668"/>
      <c r="AB47" s="668"/>
      <c r="AC47" s="668"/>
      <c r="AD47" s="668"/>
      <c r="AE47" s="668"/>
      <c r="AF47" s="668"/>
      <c r="AG47" s="668"/>
      <c r="AH47" s="668"/>
      <c r="AI47" s="668"/>
      <c r="AJ47" s="668"/>
      <c r="AK47" s="668"/>
      <c r="AL47" s="668"/>
      <c r="AM47" s="668"/>
      <c r="AN47" s="668"/>
      <c r="AO47" s="668"/>
      <c r="AP47" s="668"/>
      <c r="AQ47" s="668"/>
      <c r="AR47" s="668"/>
      <c r="AS47" s="668"/>
      <c r="AT47" s="668"/>
      <c r="AU47" s="668"/>
      <c r="AV47" s="668"/>
      <c r="AW47" s="668"/>
      <c r="AX47" s="668"/>
      <c r="AY47" s="668"/>
      <c r="AZ47" s="668"/>
      <c r="BA47" s="668"/>
      <c r="BB47" s="668"/>
      <c r="BC47" s="668"/>
      <c r="BD47" s="668"/>
      <c r="BE47" s="668"/>
      <c r="BF47" s="668"/>
      <c r="BG47" s="668"/>
      <c r="BH47" s="668"/>
      <c r="BI47" s="668"/>
      <c r="BJ47" s="668"/>
      <c r="BK47" s="668"/>
      <c r="BL47" s="668"/>
      <c r="BM47" s="668"/>
      <c r="BN47" s="668"/>
      <c r="BO47" s="668"/>
      <c r="BP47" s="668"/>
      <c r="BQ47" s="668"/>
      <c r="BR47" s="668"/>
      <c r="BS47" s="668"/>
      <c r="BT47" s="668"/>
      <c r="BU47" s="668"/>
      <c r="BV47" s="668"/>
      <c r="BW47" s="668"/>
      <c r="BX47" s="668"/>
      <c r="BY47" s="668"/>
      <c r="BZ47" s="668"/>
      <c r="CA47" s="668"/>
      <c r="CB47" s="668"/>
      <c r="CC47" s="668"/>
      <c r="CD47" s="668"/>
      <c r="CE47" s="668"/>
      <c r="CF47" s="668"/>
      <c r="CG47" s="668"/>
      <c r="CH47" s="668"/>
      <c r="CI47" s="668"/>
      <c r="CJ47" s="668"/>
      <c r="CK47" s="668"/>
      <c r="CL47" s="668"/>
      <c r="CM47" s="668"/>
      <c r="CN47" s="668"/>
      <c r="CO47" s="668"/>
      <c r="CP47" s="668"/>
      <c r="CQ47" s="668"/>
      <c r="CR47" s="668"/>
      <c r="CS47" s="668"/>
      <c r="CT47" s="668"/>
      <c r="CU47" s="668"/>
      <c r="CV47" s="668"/>
      <c r="CW47" s="668"/>
      <c r="CX47" s="668"/>
      <c r="CY47" s="668"/>
      <c r="CZ47" s="668"/>
      <c r="DA47" s="668"/>
      <c r="DB47" s="668"/>
      <c r="DC47" s="668"/>
      <c r="DD47" s="668"/>
      <c r="DE47" s="668"/>
      <c r="DF47" s="668"/>
      <c r="DG47" s="668"/>
      <c r="DH47" s="668"/>
      <c r="DI47" s="665"/>
    </row>
    <row r="48" spans="1:113" s="649" customFormat="1" ht="18.75">
      <c r="A48" s="647"/>
      <c r="B48" s="650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  <c r="BA48" s="668"/>
      <c r="BB48" s="668"/>
      <c r="BC48" s="668"/>
      <c r="BD48" s="668"/>
      <c r="BE48" s="668"/>
      <c r="BF48" s="668"/>
      <c r="BG48" s="668"/>
      <c r="BH48" s="668"/>
      <c r="BI48" s="668"/>
      <c r="BJ48" s="668"/>
      <c r="BK48" s="668"/>
      <c r="BL48" s="668"/>
      <c r="BM48" s="668"/>
      <c r="BN48" s="668"/>
      <c r="BO48" s="668"/>
      <c r="BP48" s="668"/>
      <c r="BQ48" s="668"/>
      <c r="BR48" s="668"/>
      <c r="BS48" s="668"/>
      <c r="BT48" s="668"/>
      <c r="BU48" s="668"/>
      <c r="BV48" s="668"/>
      <c r="BW48" s="668"/>
      <c r="BX48" s="668"/>
      <c r="BY48" s="668"/>
      <c r="BZ48" s="668"/>
      <c r="CA48" s="668"/>
      <c r="CB48" s="668"/>
      <c r="CC48" s="668"/>
      <c r="CD48" s="668"/>
      <c r="CE48" s="668"/>
      <c r="CF48" s="668"/>
      <c r="CG48" s="668"/>
      <c r="CH48" s="668"/>
      <c r="CI48" s="668"/>
      <c r="CJ48" s="668"/>
      <c r="CK48" s="668"/>
      <c r="CL48" s="668"/>
      <c r="CM48" s="668"/>
      <c r="CN48" s="668"/>
      <c r="CO48" s="668"/>
      <c r="CP48" s="668"/>
      <c r="CQ48" s="668"/>
      <c r="CR48" s="668"/>
      <c r="CS48" s="668"/>
      <c r="CT48" s="668"/>
      <c r="CU48" s="668"/>
      <c r="CV48" s="668"/>
      <c r="CW48" s="668"/>
      <c r="CX48" s="668"/>
      <c r="CY48" s="668"/>
      <c r="CZ48" s="668"/>
      <c r="DA48" s="668"/>
      <c r="DB48" s="668"/>
      <c r="DC48" s="668"/>
      <c r="DD48" s="668"/>
      <c r="DE48" s="668"/>
      <c r="DF48" s="668"/>
      <c r="DG48" s="668"/>
      <c r="DH48" s="668"/>
      <c r="DI48" s="665"/>
    </row>
    <row r="49" spans="1:113" s="649" customFormat="1" ht="19.5" thickBot="1">
      <c r="A49" s="647"/>
      <c r="B49" s="651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  <c r="AH49" s="666"/>
      <c r="AI49" s="666"/>
      <c r="AJ49" s="666"/>
      <c r="AK49" s="666"/>
      <c r="AL49" s="666"/>
      <c r="AM49" s="666"/>
      <c r="AN49" s="666"/>
      <c r="AO49" s="666"/>
      <c r="AP49" s="666"/>
      <c r="AQ49" s="666"/>
      <c r="AR49" s="666"/>
      <c r="AS49" s="666"/>
      <c r="AT49" s="666"/>
      <c r="AU49" s="666"/>
      <c r="AV49" s="666"/>
      <c r="AW49" s="666"/>
      <c r="AX49" s="666"/>
      <c r="AY49" s="666"/>
      <c r="AZ49" s="666"/>
      <c r="BA49" s="666"/>
      <c r="BB49" s="666"/>
      <c r="BC49" s="666"/>
      <c r="BD49" s="666"/>
      <c r="BE49" s="666"/>
      <c r="BF49" s="666"/>
      <c r="BG49" s="666"/>
      <c r="BH49" s="666"/>
      <c r="BI49" s="666"/>
      <c r="BJ49" s="666"/>
      <c r="BK49" s="666"/>
      <c r="BL49" s="666"/>
      <c r="BM49" s="666"/>
      <c r="BN49" s="666"/>
      <c r="BO49" s="666"/>
      <c r="BP49" s="666"/>
      <c r="BQ49" s="666"/>
      <c r="BR49" s="666"/>
      <c r="BS49" s="666"/>
      <c r="BT49" s="666"/>
      <c r="BU49" s="666"/>
      <c r="BV49" s="666"/>
      <c r="BW49" s="666"/>
      <c r="BX49" s="666"/>
      <c r="BY49" s="666"/>
      <c r="BZ49" s="666"/>
      <c r="CA49" s="666"/>
      <c r="CB49" s="666"/>
      <c r="CC49" s="666"/>
      <c r="CD49" s="666"/>
      <c r="CE49" s="666"/>
      <c r="CF49" s="666"/>
      <c r="CG49" s="666"/>
      <c r="CH49" s="666"/>
      <c r="CI49" s="666"/>
      <c r="CJ49" s="666"/>
      <c r="CK49" s="666"/>
      <c r="CL49" s="666"/>
      <c r="CM49" s="666"/>
      <c r="CN49" s="666"/>
      <c r="CO49" s="666"/>
      <c r="CP49" s="666"/>
      <c r="CQ49" s="666"/>
      <c r="CR49" s="666"/>
      <c r="CS49" s="666"/>
      <c r="CT49" s="666"/>
      <c r="CU49" s="666"/>
      <c r="CV49" s="666"/>
      <c r="CW49" s="666"/>
      <c r="CX49" s="666"/>
      <c r="CY49" s="666"/>
      <c r="CZ49" s="666"/>
      <c r="DA49" s="666"/>
      <c r="DB49" s="666"/>
      <c r="DC49" s="666"/>
      <c r="DD49" s="666"/>
      <c r="DE49" s="666"/>
      <c r="DF49" s="666"/>
      <c r="DG49" s="666"/>
      <c r="DH49" s="666"/>
      <c r="DI49" s="667"/>
    </row>
    <row r="50" spans="1:113">
      <c r="B50" s="652"/>
      <c r="F50" s="653"/>
    </row>
    <row r="51" spans="1:113">
      <c r="B51" s="652"/>
      <c r="F51" s="653"/>
    </row>
    <row r="52" spans="1:113">
      <c r="B52" s="652"/>
      <c r="F52" s="653"/>
    </row>
    <row r="53" spans="1:113">
      <c r="B53" s="652"/>
      <c r="F53" s="653"/>
    </row>
    <row r="54" spans="1:113">
      <c r="B54" s="652"/>
      <c r="F54" s="653"/>
    </row>
    <row r="55" spans="1:113">
      <c r="F55" s="653"/>
    </row>
    <row r="56" spans="1:113">
      <c r="F56" s="653"/>
    </row>
    <row r="57" spans="1:113">
      <c r="F57" s="653"/>
    </row>
    <row r="58" spans="1:113">
      <c r="F58" s="653"/>
    </row>
    <row r="59" spans="1:113">
      <c r="F59" s="653"/>
    </row>
    <row r="60" spans="1:113">
      <c r="F60" s="653"/>
    </row>
    <row r="61" spans="1:113">
      <c r="F61" s="653"/>
    </row>
    <row r="62" spans="1:113">
      <c r="F62" s="653"/>
    </row>
    <row r="63" spans="1:113">
      <c r="F63" s="653"/>
    </row>
    <row r="64" spans="1:113">
      <c r="F64" s="653"/>
    </row>
    <row r="65" spans="6:6">
      <c r="F65" s="653"/>
    </row>
    <row r="66" spans="6:6">
      <c r="F66" s="653"/>
    </row>
    <row r="67" spans="6:6">
      <c r="F67" s="653"/>
    </row>
    <row r="68" spans="6:6">
      <c r="F68" s="653"/>
    </row>
    <row r="69" spans="6:6">
      <c r="F69" s="653"/>
    </row>
    <row r="70" spans="6:6">
      <c r="F70" s="653"/>
    </row>
    <row r="71" spans="6:6">
      <c r="F71" s="653"/>
    </row>
    <row r="72" spans="6:6">
      <c r="F72" s="653"/>
    </row>
    <row r="73" spans="6:6">
      <c r="F73" s="653"/>
    </row>
    <row r="74" spans="6:6">
      <c r="F74" s="653"/>
    </row>
    <row r="75" spans="6:6">
      <c r="F75" s="653"/>
    </row>
    <row r="76" spans="6:6">
      <c r="F76" s="653"/>
    </row>
    <row r="77" spans="6:6">
      <c r="F77" s="653"/>
    </row>
    <row r="78" spans="6:6">
      <c r="F78" s="653"/>
    </row>
    <row r="79" spans="6:6">
      <c r="F79" s="653"/>
    </row>
    <row r="80" spans="6:6">
      <c r="F80" s="653"/>
    </row>
    <row r="81" spans="6:6">
      <c r="F81" s="653"/>
    </row>
    <row r="82" spans="6:6">
      <c r="F82" s="653"/>
    </row>
    <row r="83" spans="6:6">
      <c r="F83" s="653"/>
    </row>
    <row r="84" spans="6:6">
      <c r="F84" s="653"/>
    </row>
    <row r="85" spans="6:6">
      <c r="F85" s="653"/>
    </row>
    <row r="86" spans="6:6">
      <c r="F86" s="653"/>
    </row>
    <row r="87" spans="6:6">
      <c r="F87" s="653"/>
    </row>
    <row r="88" spans="6:6">
      <c r="F88" s="653"/>
    </row>
    <row r="89" spans="6:6">
      <c r="F89" s="653"/>
    </row>
    <row r="90" spans="6:6">
      <c r="F90" s="653"/>
    </row>
    <row r="91" spans="6:6">
      <c r="F91" s="653"/>
    </row>
    <row r="92" spans="6:6">
      <c r="F92" s="653"/>
    </row>
    <row r="93" spans="6:6">
      <c r="F93" s="653"/>
    </row>
    <row r="94" spans="6:6">
      <c r="F94" s="653"/>
    </row>
    <row r="95" spans="6:6">
      <c r="F95" s="653"/>
    </row>
    <row r="96" spans="6:6">
      <c r="F96" s="653"/>
    </row>
    <row r="97" spans="6:6">
      <c r="F97" s="653"/>
    </row>
    <row r="98" spans="6:6">
      <c r="F98" s="653"/>
    </row>
    <row r="99" spans="6:6">
      <c r="F99" s="653"/>
    </row>
    <row r="100" spans="6:6">
      <c r="F100" s="653"/>
    </row>
    <row r="101" spans="6:6">
      <c r="F101" s="653"/>
    </row>
    <row r="102" spans="6:6">
      <c r="F102" s="653"/>
    </row>
    <row r="103" spans="6:6">
      <c r="F103" s="653"/>
    </row>
    <row r="104" spans="6:6">
      <c r="F104" s="653"/>
    </row>
    <row r="105" spans="6:6">
      <c r="F105" s="653"/>
    </row>
    <row r="106" spans="6:6">
      <c r="F106" s="653"/>
    </row>
    <row r="107" spans="6:6">
      <c r="F107" s="653"/>
    </row>
    <row r="108" spans="6:6">
      <c r="F108" s="653"/>
    </row>
    <row r="109" spans="6:6">
      <c r="F109" s="653"/>
    </row>
    <row r="110" spans="6:6">
      <c r="F110" s="653"/>
    </row>
    <row r="111" spans="6:6">
      <c r="F111" s="653"/>
    </row>
    <row r="112" spans="6:6">
      <c r="F112" s="653"/>
    </row>
    <row r="113" spans="6:6">
      <c r="F113" s="653"/>
    </row>
    <row r="114" spans="6:6">
      <c r="F114" s="653"/>
    </row>
    <row r="115" spans="6:6">
      <c r="F115" s="653"/>
    </row>
    <row r="116" spans="6:6">
      <c r="F116" s="653"/>
    </row>
    <row r="117" spans="6:6">
      <c r="F117" s="653"/>
    </row>
    <row r="118" spans="6:6">
      <c r="F118" s="653"/>
    </row>
    <row r="119" spans="6:6">
      <c r="F119" s="653"/>
    </row>
    <row r="120" spans="6:6">
      <c r="F120" s="653"/>
    </row>
    <row r="121" spans="6:6">
      <c r="F121" s="653"/>
    </row>
    <row r="122" spans="6:6">
      <c r="F122" s="653"/>
    </row>
    <row r="123" spans="6:6">
      <c r="F123" s="653"/>
    </row>
    <row r="124" spans="6:6">
      <c r="F124" s="653"/>
    </row>
    <row r="125" spans="6:6">
      <c r="F125" s="653"/>
    </row>
    <row r="126" spans="6:6">
      <c r="F126" s="653"/>
    </row>
    <row r="127" spans="6:6">
      <c r="F127" s="653"/>
    </row>
    <row r="128" spans="6:6">
      <c r="F128" s="653"/>
    </row>
    <row r="129" spans="6:6">
      <c r="F129" s="653"/>
    </row>
    <row r="130" spans="6:6">
      <c r="F130" s="653"/>
    </row>
    <row r="131" spans="6:6">
      <c r="F131" s="653"/>
    </row>
    <row r="132" spans="6:6">
      <c r="F132" s="653"/>
    </row>
    <row r="133" spans="6:6">
      <c r="F133" s="653"/>
    </row>
    <row r="134" spans="6:6">
      <c r="F134" s="653"/>
    </row>
    <row r="135" spans="6:6">
      <c r="F135" s="653"/>
    </row>
    <row r="136" spans="6:6">
      <c r="F136" s="653"/>
    </row>
    <row r="137" spans="6:6">
      <c r="F137" s="653"/>
    </row>
    <row r="138" spans="6:6">
      <c r="F138" s="653"/>
    </row>
    <row r="139" spans="6:6">
      <c r="F139" s="653"/>
    </row>
    <row r="140" spans="6:6">
      <c r="F140" s="653"/>
    </row>
    <row r="141" spans="6:6">
      <c r="F141" s="653"/>
    </row>
    <row r="142" spans="6:6">
      <c r="F142" s="653"/>
    </row>
    <row r="143" spans="6:6">
      <c r="F143" s="653"/>
    </row>
    <row r="144" spans="6:6">
      <c r="F144" s="653"/>
    </row>
    <row r="145" spans="6:6">
      <c r="F145" s="653"/>
    </row>
    <row r="146" spans="6:6">
      <c r="F146" s="653"/>
    </row>
    <row r="147" spans="6:6">
      <c r="F147" s="653"/>
    </row>
    <row r="148" spans="6:6">
      <c r="F148" s="653"/>
    </row>
    <row r="149" spans="6:6">
      <c r="F149" s="653"/>
    </row>
    <row r="150" spans="6:6">
      <c r="F150" s="653"/>
    </row>
    <row r="151" spans="6:6">
      <c r="F151" s="653"/>
    </row>
    <row r="152" spans="6:6">
      <c r="F152" s="653"/>
    </row>
    <row r="153" spans="6:6">
      <c r="F153" s="653"/>
    </row>
    <row r="154" spans="6:6">
      <c r="F154" s="653"/>
    </row>
    <row r="155" spans="6:6">
      <c r="F155" s="653"/>
    </row>
    <row r="156" spans="6:6">
      <c r="F156" s="653"/>
    </row>
    <row r="157" spans="6:6">
      <c r="F157" s="653"/>
    </row>
    <row r="158" spans="6:6">
      <c r="F158" s="653"/>
    </row>
    <row r="159" spans="6:6">
      <c r="F159" s="653"/>
    </row>
    <row r="160" spans="6:6">
      <c r="F160" s="653"/>
    </row>
    <row r="161" spans="6:6">
      <c r="F161" s="653"/>
    </row>
    <row r="162" spans="6:6">
      <c r="F162" s="653"/>
    </row>
    <row r="163" spans="6:6">
      <c r="F163" s="653"/>
    </row>
    <row r="164" spans="6:6">
      <c r="F164" s="653"/>
    </row>
    <row r="165" spans="6:6">
      <c r="F165" s="653"/>
    </row>
    <row r="166" spans="6:6">
      <c r="F166" s="653"/>
    </row>
    <row r="167" spans="6:6">
      <c r="F167" s="653"/>
    </row>
    <row r="168" spans="6:6">
      <c r="F168" s="653"/>
    </row>
    <row r="169" spans="6:6">
      <c r="F169" s="653"/>
    </row>
    <row r="170" spans="6:6">
      <c r="F170" s="653"/>
    </row>
    <row r="171" spans="6:6">
      <c r="F171" s="653"/>
    </row>
    <row r="172" spans="6:6">
      <c r="F172" s="653"/>
    </row>
    <row r="173" spans="6:6">
      <c r="F173" s="653"/>
    </row>
    <row r="174" spans="6:6">
      <c r="F174" s="653"/>
    </row>
    <row r="175" spans="6:6">
      <c r="F175" s="653"/>
    </row>
    <row r="176" spans="6:6">
      <c r="F176" s="653"/>
    </row>
    <row r="177" spans="6:6">
      <c r="F177" s="653"/>
    </row>
    <row r="178" spans="6:6">
      <c r="F178" s="653"/>
    </row>
    <row r="179" spans="6:6">
      <c r="F179" s="653"/>
    </row>
    <row r="180" spans="6:6">
      <c r="F180" s="653"/>
    </row>
    <row r="181" spans="6:6">
      <c r="F181" s="653"/>
    </row>
    <row r="182" spans="6:6">
      <c r="F182" s="653"/>
    </row>
  </sheetData>
  <mergeCells count="39">
    <mergeCell ref="CD6:CS6"/>
    <mergeCell ref="J7:M7"/>
    <mergeCell ref="N7:Q7"/>
    <mergeCell ref="R7:U7"/>
    <mergeCell ref="B5:I7"/>
    <mergeCell ref="J6:AC6"/>
    <mergeCell ref="AD6:AS6"/>
    <mergeCell ref="AT6:BM6"/>
    <mergeCell ref="BN6:CC6"/>
    <mergeCell ref="BF7:BI7"/>
    <mergeCell ref="BJ7:BM7"/>
    <mergeCell ref="BN7:BQ7"/>
    <mergeCell ref="V7:Y7"/>
    <mergeCell ref="Z7:AC7"/>
    <mergeCell ref="AD7:AG7"/>
    <mergeCell ref="AH7:AK7"/>
    <mergeCell ref="AX7:BA7"/>
    <mergeCell ref="AL7:AO7"/>
    <mergeCell ref="AP7:AS7"/>
    <mergeCell ref="B14:B15"/>
    <mergeCell ref="C14:I14"/>
    <mergeCell ref="E15:F15"/>
    <mergeCell ref="G15:I15"/>
    <mergeCell ref="BB7:BE7"/>
    <mergeCell ref="U18:X18"/>
    <mergeCell ref="AT5:DI5"/>
    <mergeCell ref="CT6:DI6"/>
    <mergeCell ref="CT7:CW7"/>
    <mergeCell ref="CX7:DA7"/>
    <mergeCell ref="DB7:DE7"/>
    <mergeCell ref="DF7:DI7"/>
    <mergeCell ref="CP7:CS7"/>
    <mergeCell ref="BR7:BU7"/>
    <mergeCell ref="BV7:BY7"/>
    <mergeCell ref="BZ7:CC7"/>
    <mergeCell ref="CD7:CG7"/>
    <mergeCell ref="CH7:CK7"/>
    <mergeCell ref="CL7:CO7"/>
    <mergeCell ref="AT7:AW7"/>
  </mergeCells>
  <pageMargins left="0" right="0" top="0" bottom="0" header="0.31496062992125984" footer="0.31496062992125984"/>
  <pageSetup scale="66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5"/>
  <sheetViews>
    <sheetView showGridLines="0" topLeftCell="A14" zoomScale="57" zoomScaleNormal="50" workbookViewId="0">
      <pane xSplit="12" ySplit="5" topLeftCell="R19" activePane="bottomRight" state="frozen"/>
      <selection activeCell="A14" sqref="A14"/>
      <selection pane="topRight" activeCell="M14" sqref="M14"/>
      <selection pane="bottomLeft" activeCell="A19" sqref="A19"/>
      <selection pane="bottomRight" activeCell="U33" sqref="U33"/>
    </sheetView>
  </sheetViews>
  <sheetFormatPr defaultRowHeight="20.25"/>
  <cols>
    <col min="2" max="2" width="5.5" customWidth="1"/>
    <col min="3" max="5" width="13.1640625" customWidth="1"/>
    <col min="6" max="7" width="11.1640625" customWidth="1"/>
    <col min="8" max="12" width="10.5" hidden="1" customWidth="1"/>
    <col min="13" max="13" width="10.5" customWidth="1"/>
    <col min="14" max="14" width="10.4140625" customWidth="1"/>
    <col min="15" max="19" width="12.58203125" customWidth="1"/>
    <col min="20" max="20" width="10.5" customWidth="1"/>
    <col min="21" max="29" width="12.58203125" customWidth="1"/>
    <col min="30" max="30" width="1.75" customWidth="1"/>
    <col min="31" max="31" width="18.25" bestFit="1" customWidth="1"/>
    <col min="32" max="32" width="1.4140625" customWidth="1"/>
    <col min="33" max="33" width="8.83203125" bestFit="1" customWidth="1"/>
  </cols>
  <sheetData>
    <row r="1" spans="1:35">
      <c r="H1" t="s">
        <v>0</v>
      </c>
    </row>
    <row r="5" spans="1:35" s="3" customFormat="1" ht="27.75">
      <c r="A5" s="1"/>
      <c r="B5" s="2" t="s">
        <v>1</v>
      </c>
      <c r="C5" s="1"/>
      <c r="D5" s="1"/>
    </row>
    <row r="6" spans="1:35" s="3" customFormat="1" ht="23.25">
      <c r="A6" s="1"/>
      <c r="B6" s="4" t="s">
        <v>2</v>
      </c>
      <c r="C6" s="1"/>
      <c r="D6" s="1"/>
    </row>
    <row r="7" spans="1:35" s="3" customFormat="1" ht="23.25">
      <c r="A7" s="1"/>
      <c r="B7" s="1"/>
      <c r="C7" s="4"/>
      <c r="D7" s="4"/>
    </row>
    <row r="8" spans="1:35" s="9" customFormat="1" ht="23.25" hidden="1">
      <c r="A8" s="5"/>
      <c r="B8" s="783" t="s">
        <v>3</v>
      </c>
      <c r="C8" s="785" t="s">
        <v>188</v>
      </c>
      <c r="D8" s="486"/>
      <c r="E8" s="785" t="s">
        <v>4</v>
      </c>
      <c r="F8" s="785" t="s">
        <v>5</v>
      </c>
      <c r="G8" s="6"/>
      <c r="H8" s="772" t="s">
        <v>6</v>
      </c>
      <c r="I8" s="822"/>
      <c r="J8" s="822"/>
      <c r="K8" s="822"/>
      <c r="L8" s="822"/>
      <c r="M8" s="772" t="s">
        <v>7</v>
      </c>
      <c r="N8" s="822"/>
      <c r="O8" s="822"/>
      <c r="P8" s="823"/>
      <c r="Q8"/>
      <c r="R8" s="7" t="s">
        <v>8</v>
      </c>
      <c r="S8" s="7"/>
      <c r="T8" s="3"/>
      <c r="U8" s="3"/>
      <c r="V8" s="772" t="s">
        <v>6</v>
      </c>
      <c r="W8" s="822"/>
      <c r="X8" s="822"/>
      <c r="Y8" s="823"/>
      <c r="Z8" s="772" t="s">
        <v>6</v>
      </c>
      <c r="AA8" s="822"/>
      <c r="AB8" s="822"/>
      <c r="AC8" s="823"/>
      <c r="AD8" s="8"/>
      <c r="AE8" s="3"/>
      <c r="AF8" s="3"/>
      <c r="AG8"/>
    </row>
    <row r="9" spans="1:35" s="9" customFormat="1" ht="24" hidden="1" thickBot="1">
      <c r="A9" s="5"/>
      <c r="B9" s="784"/>
      <c r="C9" s="786"/>
      <c r="D9" s="487"/>
      <c r="E9" s="786"/>
      <c r="F9" s="786"/>
      <c r="G9" s="5"/>
      <c r="H9" s="10" t="s">
        <v>9</v>
      </c>
      <c r="I9" s="11" t="s">
        <v>10</v>
      </c>
      <c r="J9" s="11" t="s">
        <v>11</v>
      </c>
      <c r="K9" s="11" t="s">
        <v>11</v>
      </c>
      <c r="L9" s="12"/>
      <c r="M9" s="10" t="s">
        <v>12</v>
      </c>
      <c r="N9" s="11" t="s">
        <v>13</v>
      </c>
      <c r="O9" s="11" t="s">
        <v>14</v>
      </c>
      <c r="P9" s="13" t="s">
        <v>15</v>
      </c>
      <c r="Q9"/>
      <c r="R9" s="3"/>
      <c r="S9" s="3"/>
      <c r="T9" s="3"/>
      <c r="U9" s="3"/>
      <c r="V9" s="10" t="s">
        <v>9</v>
      </c>
      <c r="W9" s="11" t="s">
        <v>10</v>
      </c>
      <c r="X9" s="11" t="s">
        <v>11</v>
      </c>
      <c r="Y9" s="13" t="s">
        <v>16</v>
      </c>
      <c r="Z9" s="10" t="s">
        <v>9</v>
      </c>
      <c r="AA9" s="11" t="s">
        <v>10</v>
      </c>
      <c r="AB9" s="11" t="s">
        <v>11</v>
      </c>
      <c r="AC9" s="13" t="s">
        <v>16</v>
      </c>
      <c r="AD9" s="14"/>
      <c r="AE9" s="3"/>
      <c r="AF9" s="3"/>
      <c r="AG9"/>
    </row>
    <row r="10" spans="1:35" s="3" customFormat="1" ht="25.15" hidden="1" customHeight="1">
      <c r="A10" s="1"/>
      <c r="B10" s="824">
        <v>1</v>
      </c>
      <c r="C10" s="777" t="s">
        <v>17</v>
      </c>
      <c r="D10" s="484"/>
      <c r="E10" s="766" t="s">
        <v>18</v>
      </c>
      <c r="F10" s="767">
        <v>1500</v>
      </c>
      <c r="G10" s="15"/>
      <c r="H10" s="16"/>
      <c r="I10" s="17"/>
      <c r="J10" s="18">
        <v>800</v>
      </c>
      <c r="K10" s="18">
        <v>800</v>
      </c>
      <c r="L10" s="19"/>
      <c r="M10" s="20"/>
      <c r="N10" s="17"/>
      <c r="O10" s="21"/>
      <c r="P10" s="22"/>
      <c r="Q10"/>
      <c r="R10" s="23" t="s">
        <v>19</v>
      </c>
      <c r="S10" s="23"/>
      <c r="T10" s="23" t="s">
        <v>20</v>
      </c>
      <c r="U10" s="24" t="s">
        <v>21</v>
      </c>
      <c r="V10" s="16"/>
      <c r="W10" s="17"/>
      <c r="X10" s="18">
        <v>800</v>
      </c>
      <c r="Y10" s="25">
        <v>700</v>
      </c>
      <c r="Z10" s="16"/>
      <c r="AA10" s="17"/>
      <c r="AB10" s="18">
        <v>800</v>
      </c>
      <c r="AC10" s="25">
        <v>700</v>
      </c>
      <c r="AD10" s="19"/>
      <c r="AE10" s="24" t="s">
        <v>22</v>
      </c>
      <c r="AF10" s="335"/>
      <c r="AG10"/>
    </row>
    <row r="11" spans="1:35" s="3" customFormat="1" ht="25.15" hidden="1" customHeight="1">
      <c r="A11" s="1"/>
      <c r="B11" s="825"/>
      <c r="C11" s="777"/>
      <c r="D11" s="484"/>
      <c r="E11" s="766"/>
      <c r="F11" s="813"/>
      <c r="G11" s="26"/>
      <c r="H11" s="27"/>
      <c r="I11" s="28"/>
      <c r="J11" s="29" t="s">
        <v>23</v>
      </c>
      <c r="K11" s="29" t="s">
        <v>23</v>
      </c>
      <c r="L11" s="30"/>
      <c r="M11" s="28"/>
      <c r="N11" s="28"/>
      <c r="O11" s="31"/>
      <c r="P11" s="32"/>
      <c r="Q11"/>
      <c r="R11" s="33" t="s">
        <v>24</v>
      </c>
      <c r="S11" s="33"/>
      <c r="T11" s="33" t="s">
        <v>25</v>
      </c>
      <c r="U11" s="34">
        <v>110000000</v>
      </c>
      <c r="V11" s="27"/>
      <c r="W11" s="28"/>
      <c r="X11" s="29" t="s">
        <v>23</v>
      </c>
      <c r="Y11" s="35" t="s">
        <v>26</v>
      </c>
      <c r="Z11" s="27"/>
      <c r="AA11" s="28"/>
      <c r="AB11" s="29" t="s">
        <v>23</v>
      </c>
      <c r="AC11" s="35" t="s">
        <v>26</v>
      </c>
      <c r="AD11" s="30"/>
      <c r="AE11" s="36" t="s">
        <v>27</v>
      </c>
      <c r="AF11" s="7"/>
      <c r="AG11"/>
      <c r="AH11">
        <v>150</v>
      </c>
      <c r="AI11" s="37">
        <v>45961</v>
      </c>
    </row>
    <row r="12" spans="1:35" s="3" customFormat="1" ht="25.15" hidden="1" customHeight="1">
      <c r="A12" s="1"/>
      <c r="B12" s="825"/>
      <c r="C12" s="777"/>
      <c r="D12" s="484"/>
      <c r="E12" s="766"/>
      <c r="F12" s="813"/>
      <c r="G12" s="26"/>
      <c r="H12" s="20"/>
      <c r="I12" s="28"/>
      <c r="J12" s="28"/>
      <c r="K12" s="28"/>
      <c r="L12" s="19"/>
      <c r="M12" s="20">
        <v>540</v>
      </c>
      <c r="N12" s="28"/>
      <c r="O12" s="28"/>
      <c r="P12" s="25"/>
      <c r="Q12"/>
      <c r="R12" s="33" t="s">
        <v>28</v>
      </c>
      <c r="S12" s="33"/>
      <c r="T12" s="33" t="s">
        <v>29</v>
      </c>
      <c r="U12" s="34">
        <v>500000</v>
      </c>
      <c r="V12" s="20"/>
      <c r="W12" s="28"/>
      <c r="X12" s="28"/>
      <c r="Y12" s="38">
        <v>150</v>
      </c>
      <c r="Z12" s="20"/>
      <c r="AA12" s="28"/>
      <c r="AB12" s="28"/>
      <c r="AC12" s="38">
        <v>150</v>
      </c>
      <c r="AD12" s="19"/>
      <c r="AE12" s="39">
        <v>45957</v>
      </c>
      <c r="AF12" s="336"/>
      <c r="AG12"/>
      <c r="AH12">
        <v>300</v>
      </c>
      <c r="AI12" s="37">
        <v>45966</v>
      </c>
    </row>
    <row r="13" spans="1:35" s="3" customFormat="1" ht="24.4" hidden="1" customHeight="1">
      <c r="A13" s="1"/>
      <c r="B13" s="826"/>
      <c r="C13" s="778"/>
      <c r="D13" s="485"/>
      <c r="E13" s="765"/>
      <c r="F13" s="768"/>
      <c r="G13" s="40"/>
      <c r="H13" s="41"/>
      <c r="I13" s="42"/>
      <c r="J13" s="42"/>
      <c r="K13" s="42"/>
      <c r="L13" s="43"/>
      <c r="M13" s="44" t="s">
        <v>30</v>
      </c>
      <c r="N13" s="42"/>
      <c r="O13" s="42"/>
      <c r="P13" s="45"/>
      <c r="Q13"/>
      <c r="R13" s="33" t="s">
        <v>31</v>
      </c>
      <c r="S13" s="33"/>
      <c r="T13" s="33" t="s">
        <v>32</v>
      </c>
      <c r="U13" s="34">
        <v>15000000</v>
      </c>
      <c r="V13" s="41"/>
      <c r="W13" s="42"/>
      <c r="X13" s="42"/>
      <c r="Y13" s="46" t="s">
        <v>26</v>
      </c>
      <c r="Z13" s="41"/>
      <c r="AA13" s="42"/>
      <c r="AB13" s="42"/>
      <c r="AC13" s="46" t="s">
        <v>26</v>
      </c>
      <c r="AD13" s="47"/>
      <c r="AE13" s="36" t="s">
        <v>27</v>
      </c>
      <c r="AF13" s="7"/>
      <c r="AG13"/>
      <c r="AH13">
        <v>240</v>
      </c>
      <c r="AI13" s="37">
        <v>45968</v>
      </c>
    </row>
    <row r="15" spans="1:35">
      <c r="B15" t="s">
        <v>33</v>
      </c>
    </row>
    <row r="16" spans="1:35" ht="21" thickBot="1"/>
    <row r="17" spans="1:35" s="9" customFormat="1" ht="23.25">
      <c r="A17" s="789" t="s">
        <v>34</v>
      </c>
      <c r="B17" s="783" t="s">
        <v>3</v>
      </c>
      <c r="C17" s="785" t="s">
        <v>188</v>
      </c>
      <c r="D17" s="785" t="s">
        <v>35</v>
      </c>
      <c r="E17" s="785" t="s">
        <v>4</v>
      </c>
      <c r="F17" s="785" t="s">
        <v>36</v>
      </c>
      <c r="G17" s="48" t="s">
        <v>37</v>
      </c>
      <c r="H17" s="772">
        <v>46023</v>
      </c>
      <c r="I17" s="773"/>
      <c r="J17" s="773"/>
      <c r="K17" s="773"/>
      <c r="L17" s="773"/>
      <c r="M17" s="772" t="s">
        <v>38</v>
      </c>
      <c r="N17" s="773"/>
      <c r="O17" s="773"/>
      <c r="P17" s="774"/>
      <c r="Q17" s="772" t="s">
        <v>39</v>
      </c>
      <c r="R17" s="773"/>
      <c r="S17" s="773"/>
      <c r="T17" s="773"/>
      <c r="U17" s="774"/>
      <c r="V17" s="772">
        <v>46113</v>
      </c>
      <c r="W17" s="773"/>
      <c r="X17" s="773"/>
      <c r="Y17" s="774"/>
      <c r="Z17" s="772">
        <v>46143</v>
      </c>
      <c r="AA17" s="773"/>
      <c r="AB17" s="773"/>
      <c r="AC17" s="774"/>
      <c r="AD17" s="49"/>
      <c r="AE17" s="819" t="s">
        <v>124</v>
      </c>
      <c r="AF17" s="3"/>
      <c r="AG17"/>
    </row>
    <row r="18" spans="1:35" s="9" customFormat="1" ht="24" thickBot="1">
      <c r="A18" s="789"/>
      <c r="B18" s="821"/>
      <c r="C18" s="777"/>
      <c r="D18" s="777"/>
      <c r="E18" s="777"/>
      <c r="F18" s="777"/>
      <c r="G18" s="214" t="s">
        <v>40</v>
      </c>
      <c r="H18" s="215" t="s">
        <v>41</v>
      </c>
      <c r="I18" s="125" t="s">
        <v>42</v>
      </c>
      <c r="J18" s="216" t="s">
        <v>43</v>
      </c>
      <c r="K18" s="125" t="s">
        <v>44</v>
      </c>
      <c r="L18" s="217" t="s">
        <v>45</v>
      </c>
      <c r="M18" s="481" t="s">
        <v>46</v>
      </c>
      <c r="N18" s="482" t="s">
        <v>47</v>
      </c>
      <c r="O18" s="483" t="s">
        <v>48</v>
      </c>
      <c r="P18" s="479" t="s">
        <v>49</v>
      </c>
      <c r="Q18" s="480" t="s">
        <v>50</v>
      </c>
      <c r="R18" s="49" t="s">
        <v>51</v>
      </c>
      <c r="S18" s="49" t="s">
        <v>52</v>
      </c>
      <c r="T18" s="218" t="s">
        <v>53</v>
      </c>
      <c r="U18" s="125" t="s">
        <v>54</v>
      </c>
      <c r="V18" s="215" t="s">
        <v>55</v>
      </c>
      <c r="W18" s="125" t="s">
        <v>56</v>
      </c>
      <c r="X18" s="49" t="s">
        <v>57</v>
      </c>
      <c r="Y18" s="219" t="s">
        <v>58</v>
      </c>
      <c r="Z18" s="215" t="s">
        <v>59</v>
      </c>
      <c r="AA18" s="125" t="s">
        <v>60</v>
      </c>
      <c r="AB18" s="49" t="s">
        <v>61</v>
      </c>
      <c r="AC18" s="219" t="s">
        <v>62</v>
      </c>
      <c r="AD18" s="14"/>
      <c r="AE18" s="820"/>
      <c r="AF18" s="3"/>
      <c r="AG18"/>
    </row>
    <row r="19" spans="1:35" s="3" customFormat="1" ht="25.15" customHeight="1" thickTop="1" thickBot="1">
      <c r="A19" s="815">
        <v>5</v>
      </c>
      <c r="B19" s="815">
        <v>1</v>
      </c>
      <c r="C19" s="816" t="s">
        <v>63</v>
      </c>
      <c r="D19" s="817" t="s">
        <v>64</v>
      </c>
      <c r="E19" s="817" t="s">
        <v>65</v>
      </c>
      <c r="F19" s="818">
        <v>1000</v>
      </c>
      <c r="G19" s="220" t="s">
        <v>66</v>
      </c>
      <c r="H19" s="221"/>
      <c r="I19" s="28"/>
      <c r="J19" s="28"/>
      <c r="K19" s="28"/>
      <c r="L19" s="222"/>
      <c r="M19" s="223"/>
      <c r="N19" s="224">
        <v>540</v>
      </c>
      <c r="O19" s="224">
        <v>420</v>
      </c>
      <c r="P19" s="25"/>
      <c r="Q19" s="494">
        <v>40</v>
      </c>
      <c r="R19" s="495"/>
      <c r="S19" s="495"/>
      <c r="T19" s="814" t="s">
        <v>67</v>
      </c>
      <c r="U19" s="496"/>
      <c r="V19" s="497"/>
      <c r="W19" s="495"/>
      <c r="X19" s="495"/>
      <c r="Y19" s="496"/>
      <c r="Z19" s="221"/>
      <c r="AA19" s="28"/>
      <c r="AB19" s="28"/>
      <c r="AC19" s="225"/>
      <c r="AD19" s="61"/>
      <c r="AE19" s="338"/>
      <c r="AF19"/>
      <c r="AG19" s="775">
        <v>5</v>
      </c>
    </row>
    <row r="20" spans="1:35" s="3" customFormat="1" ht="25.15" customHeight="1" thickBot="1">
      <c r="A20" s="763"/>
      <c r="B20" s="763"/>
      <c r="C20" s="777"/>
      <c r="D20" s="770"/>
      <c r="E20" s="765"/>
      <c r="F20" s="768"/>
      <c r="G20" s="40" t="s">
        <v>68</v>
      </c>
      <c r="H20" s="62"/>
      <c r="I20" s="63"/>
      <c r="J20" s="63"/>
      <c r="K20" s="63"/>
      <c r="L20" s="64"/>
      <c r="M20" s="65"/>
      <c r="N20" s="66" t="s">
        <v>69</v>
      </c>
      <c r="O20" s="66" t="s">
        <v>70</v>
      </c>
      <c r="P20" s="68"/>
      <c r="Q20" s="498" t="s">
        <v>265</v>
      </c>
      <c r="R20" s="499"/>
      <c r="S20" s="499"/>
      <c r="T20" s="781"/>
      <c r="U20" s="500"/>
      <c r="V20" s="501"/>
      <c r="W20" s="499"/>
      <c r="X20" s="499"/>
      <c r="Y20" s="500"/>
      <c r="Z20" s="62"/>
      <c r="AA20" s="63"/>
      <c r="AB20" s="63"/>
      <c r="AC20" s="68"/>
      <c r="AD20" s="69"/>
      <c r="AE20" s="337"/>
      <c r="AF20"/>
      <c r="AG20" s="763"/>
      <c r="AH20">
        <v>150</v>
      </c>
      <c r="AI20" s="37">
        <v>45961</v>
      </c>
    </row>
    <row r="21" spans="1:35" ht="24.75" thickTop="1" thickBot="1">
      <c r="A21" s="762">
        <v>6</v>
      </c>
      <c r="B21" s="762">
        <v>2</v>
      </c>
      <c r="C21" s="777"/>
      <c r="D21" s="764" t="s">
        <v>72</v>
      </c>
      <c r="E21" s="766" t="s">
        <v>73</v>
      </c>
      <c r="F21" s="767">
        <v>1000</v>
      </c>
      <c r="G21" s="57" t="s">
        <v>66</v>
      </c>
      <c r="H21" s="58"/>
      <c r="I21" s="18"/>
      <c r="J21" s="60">
        <v>30</v>
      </c>
      <c r="K21" s="60">
        <v>90</v>
      </c>
      <c r="L21" s="19"/>
      <c r="M21" s="70">
        <v>420</v>
      </c>
      <c r="N21" s="60">
        <v>450</v>
      </c>
      <c r="O21" s="60">
        <v>10</v>
      </c>
      <c r="P21" s="25"/>
      <c r="Q21" s="502"/>
      <c r="R21" s="503"/>
      <c r="S21" s="503"/>
      <c r="T21" s="781"/>
      <c r="U21" s="504"/>
      <c r="V21" s="505"/>
      <c r="W21" s="503"/>
      <c r="X21" s="503"/>
      <c r="Y21" s="504"/>
      <c r="Z21" s="58"/>
      <c r="AA21" s="18"/>
      <c r="AB21" s="18"/>
      <c r="AC21" s="25"/>
      <c r="AD21" s="61"/>
      <c r="AE21" s="338"/>
      <c r="AG21" s="762">
        <v>6</v>
      </c>
    </row>
    <row r="22" spans="1:35" ht="24" thickBot="1">
      <c r="A22" s="763"/>
      <c r="B22" s="763"/>
      <c r="C22" s="777"/>
      <c r="D22" s="765"/>
      <c r="E22" s="765"/>
      <c r="F22" s="768"/>
      <c r="G22" s="40" t="s">
        <v>68</v>
      </c>
      <c r="H22" s="62"/>
      <c r="I22" s="42"/>
      <c r="J22" s="66" t="s">
        <v>74</v>
      </c>
      <c r="K22" s="66" t="s">
        <v>75</v>
      </c>
      <c r="L22" s="43"/>
      <c r="M22" s="71" t="s">
        <v>76</v>
      </c>
      <c r="N22" s="66" t="s">
        <v>77</v>
      </c>
      <c r="O22" s="66" t="s">
        <v>70</v>
      </c>
      <c r="P22" s="68"/>
      <c r="Q22" s="506"/>
      <c r="R22" s="499"/>
      <c r="S22" s="499"/>
      <c r="T22" s="781"/>
      <c r="U22" s="500"/>
      <c r="V22" s="501"/>
      <c r="W22" s="507"/>
      <c r="X22" s="507"/>
      <c r="Y22" s="500"/>
      <c r="Z22" s="62"/>
      <c r="AA22" s="42"/>
      <c r="AB22" s="42"/>
      <c r="AC22" s="68"/>
      <c r="AD22" s="69"/>
      <c r="AE22" s="337"/>
      <c r="AG22" s="763"/>
    </row>
    <row r="23" spans="1:35" ht="24.75" thickTop="1" thickBot="1">
      <c r="A23" s="762">
        <v>7</v>
      </c>
      <c r="B23" s="762">
        <v>3</v>
      </c>
      <c r="C23" s="777"/>
      <c r="D23" s="764" t="s">
        <v>78</v>
      </c>
      <c r="E23" s="766" t="s">
        <v>65</v>
      </c>
      <c r="F23" s="767">
        <v>1000</v>
      </c>
      <c r="G23" s="57" t="s">
        <v>66</v>
      </c>
      <c r="H23" s="58"/>
      <c r="I23" s="18"/>
      <c r="J23" s="18"/>
      <c r="K23" s="18"/>
      <c r="L23" s="19"/>
      <c r="M23" s="59"/>
      <c r="N23" s="18"/>
      <c r="O23" s="18"/>
      <c r="P23" s="25"/>
      <c r="Q23" s="508"/>
      <c r="R23" s="503"/>
      <c r="S23" s="509">
        <v>500</v>
      </c>
      <c r="T23" s="781"/>
      <c r="U23" s="510">
        <v>500</v>
      </c>
      <c r="V23" s="505"/>
      <c r="W23" s="503"/>
      <c r="X23" s="503"/>
      <c r="Y23" s="504"/>
      <c r="Z23" s="58"/>
      <c r="AA23" s="18"/>
      <c r="AB23" s="18"/>
      <c r="AC23" s="25"/>
      <c r="AD23" s="61"/>
      <c r="AE23" s="338"/>
      <c r="AG23" s="762">
        <v>7</v>
      </c>
    </row>
    <row r="24" spans="1:35" ht="24" thickBot="1">
      <c r="A24" s="763"/>
      <c r="B24" s="763"/>
      <c r="C24" s="777"/>
      <c r="D24" s="765"/>
      <c r="E24" s="765"/>
      <c r="F24" s="768"/>
      <c r="G24" s="40" t="s">
        <v>68</v>
      </c>
      <c r="H24" s="62"/>
      <c r="I24" s="42"/>
      <c r="J24" s="42"/>
      <c r="K24" s="42"/>
      <c r="L24" s="43"/>
      <c r="M24" s="65"/>
      <c r="N24" s="63"/>
      <c r="O24" s="63"/>
      <c r="P24" s="68"/>
      <c r="Q24" s="511"/>
      <c r="R24" s="499"/>
      <c r="S24" s="512" t="s">
        <v>265</v>
      </c>
      <c r="T24" s="781"/>
      <c r="U24" s="513" t="s">
        <v>265</v>
      </c>
      <c r="V24" s="501"/>
      <c r="W24" s="507"/>
      <c r="X24" s="507"/>
      <c r="Y24" s="500"/>
      <c r="Z24" s="62"/>
      <c r="AA24" s="42"/>
      <c r="AB24" s="42"/>
      <c r="AC24" s="68"/>
      <c r="AD24" s="69"/>
      <c r="AE24" s="337"/>
      <c r="AG24" s="763"/>
    </row>
    <row r="25" spans="1:35" ht="24.75" thickTop="1" thickBot="1">
      <c r="A25" s="762">
        <v>8</v>
      </c>
      <c r="B25" s="762">
        <v>4</v>
      </c>
      <c r="C25" s="777"/>
      <c r="D25" s="764" t="s">
        <v>80</v>
      </c>
      <c r="E25" s="766" t="s">
        <v>73</v>
      </c>
      <c r="F25" s="767">
        <v>4000</v>
      </c>
      <c r="G25" s="57" t="s">
        <v>66</v>
      </c>
      <c r="H25" s="58"/>
      <c r="I25" s="18"/>
      <c r="J25" s="18"/>
      <c r="K25" s="18"/>
      <c r="L25" s="19"/>
      <c r="M25" s="59"/>
      <c r="N25" s="18"/>
      <c r="O25" s="60">
        <v>320</v>
      </c>
      <c r="P25" s="25"/>
      <c r="Q25" s="494">
        <v>180</v>
      </c>
      <c r="R25" s="509">
        <v>540</v>
      </c>
      <c r="S25" s="509">
        <v>720</v>
      </c>
      <c r="T25" s="781"/>
      <c r="U25" s="510">
        <v>240</v>
      </c>
      <c r="V25" s="494">
        <v>1200</v>
      </c>
      <c r="W25" s="509">
        <v>800</v>
      </c>
      <c r="X25" s="503"/>
      <c r="Y25" s="504"/>
      <c r="Z25" s="58"/>
      <c r="AA25" s="18"/>
      <c r="AB25" s="18"/>
      <c r="AC25" s="25"/>
      <c r="AD25" s="61"/>
      <c r="AE25" s="338"/>
      <c r="AG25" s="74">
        <v>8</v>
      </c>
    </row>
    <row r="26" spans="1:35" ht="24" thickBot="1">
      <c r="A26" s="769"/>
      <c r="B26" s="769"/>
      <c r="C26" s="777"/>
      <c r="D26" s="770"/>
      <c r="E26" s="765"/>
      <c r="F26" s="768"/>
      <c r="G26" s="40" t="s">
        <v>68</v>
      </c>
      <c r="H26" s="62"/>
      <c r="I26" s="42"/>
      <c r="J26" s="42"/>
      <c r="K26" s="42"/>
      <c r="L26" s="43"/>
      <c r="M26" s="65"/>
      <c r="N26" s="63"/>
      <c r="O26" s="66" t="s">
        <v>70</v>
      </c>
      <c r="P26" s="45"/>
      <c r="Q26" s="498" t="s">
        <v>265</v>
      </c>
      <c r="R26" s="512" t="s">
        <v>265</v>
      </c>
      <c r="S26" s="512" t="s">
        <v>265</v>
      </c>
      <c r="T26" s="781"/>
      <c r="U26" s="513" t="s">
        <v>265</v>
      </c>
      <c r="V26" s="512" t="s">
        <v>265</v>
      </c>
      <c r="W26" s="514" t="s">
        <v>265</v>
      </c>
      <c r="X26" s="507"/>
      <c r="Y26" s="500"/>
      <c r="Z26" s="62"/>
      <c r="AA26" s="42"/>
      <c r="AB26" s="42"/>
      <c r="AC26" s="68"/>
      <c r="AD26" s="69"/>
      <c r="AE26" s="337"/>
      <c r="AG26" s="78"/>
    </row>
    <row r="27" spans="1:35" ht="24.75" thickTop="1" thickBot="1">
      <c r="A27" s="762">
        <v>9</v>
      </c>
      <c r="B27" s="762">
        <v>5</v>
      </c>
      <c r="C27" s="777"/>
      <c r="D27" s="764" t="s">
        <v>83</v>
      </c>
      <c r="E27" s="766" t="s">
        <v>65</v>
      </c>
      <c r="F27" s="767">
        <v>1000</v>
      </c>
      <c r="G27" s="57" t="s">
        <v>66</v>
      </c>
      <c r="H27" s="58"/>
      <c r="I27" s="18"/>
      <c r="J27" s="18"/>
      <c r="K27" s="18"/>
      <c r="L27" s="19"/>
      <c r="M27" s="59"/>
      <c r="N27" s="18"/>
      <c r="O27" s="18"/>
      <c r="P27" s="25"/>
      <c r="Q27" s="508"/>
      <c r="R27" s="503"/>
      <c r="S27" s="503"/>
      <c r="T27" s="781"/>
      <c r="U27" s="510">
        <v>500</v>
      </c>
      <c r="V27" s="494">
        <v>500</v>
      </c>
      <c r="W27" s="503"/>
      <c r="X27" s="503"/>
      <c r="Y27" s="504"/>
      <c r="Z27" s="58"/>
      <c r="AA27" s="18"/>
      <c r="AB27" s="18"/>
      <c r="AC27" s="25"/>
      <c r="AD27" s="61"/>
      <c r="AE27" s="338"/>
      <c r="AG27" s="762">
        <v>9</v>
      </c>
    </row>
    <row r="28" spans="1:35" ht="24" thickBot="1">
      <c r="A28" s="763"/>
      <c r="B28" s="763"/>
      <c r="C28" s="777"/>
      <c r="D28" s="765"/>
      <c r="E28" s="765"/>
      <c r="F28" s="768"/>
      <c r="G28" s="40" t="s">
        <v>68</v>
      </c>
      <c r="H28" s="62"/>
      <c r="I28" s="42"/>
      <c r="J28" s="42"/>
      <c r="K28" s="42"/>
      <c r="L28" s="43"/>
      <c r="M28" s="65"/>
      <c r="N28" s="63"/>
      <c r="O28" s="63"/>
      <c r="P28" s="45"/>
      <c r="Q28" s="511"/>
      <c r="R28" s="499"/>
      <c r="S28" s="499"/>
      <c r="T28" s="781"/>
      <c r="U28" s="513" t="s">
        <v>265</v>
      </c>
      <c r="V28" s="512" t="s">
        <v>265</v>
      </c>
      <c r="W28" s="507"/>
      <c r="X28" s="507"/>
      <c r="Y28" s="500"/>
      <c r="Z28" s="62"/>
      <c r="AA28" s="42"/>
      <c r="AB28" s="42"/>
      <c r="AC28" s="68"/>
      <c r="AD28" s="69"/>
      <c r="AE28" s="337"/>
      <c r="AG28" s="763"/>
    </row>
    <row r="29" spans="1:35" ht="24.75" customHeight="1" thickTop="1" thickBot="1">
      <c r="A29" s="762">
        <v>4</v>
      </c>
      <c r="B29" s="762">
        <v>6</v>
      </c>
      <c r="C29" s="777"/>
      <c r="D29" s="764" t="s">
        <v>84</v>
      </c>
      <c r="E29" s="766" t="s">
        <v>85</v>
      </c>
      <c r="F29" s="767">
        <v>1500</v>
      </c>
      <c r="G29" s="57" t="s">
        <v>66</v>
      </c>
      <c r="H29" s="58"/>
      <c r="I29" s="18"/>
      <c r="J29" s="18"/>
      <c r="K29" s="18"/>
      <c r="L29" s="19"/>
      <c r="M29" s="59"/>
      <c r="N29" s="18"/>
      <c r="O29" s="18"/>
      <c r="P29" s="25"/>
      <c r="Q29" s="502"/>
      <c r="R29" s="503"/>
      <c r="S29" s="503"/>
      <c r="T29" s="781"/>
      <c r="U29" s="504"/>
      <c r="V29" s="503"/>
      <c r="W29" s="509">
        <v>900</v>
      </c>
      <c r="X29" s="509">
        <v>600</v>
      </c>
      <c r="Y29" s="504"/>
      <c r="Z29" s="58"/>
      <c r="AA29" s="18"/>
      <c r="AB29" s="18"/>
      <c r="AC29" s="25"/>
      <c r="AD29" s="61"/>
      <c r="AE29" s="338"/>
      <c r="AG29" s="762">
        <v>4</v>
      </c>
    </row>
    <row r="30" spans="1:35" ht="24" customHeight="1" thickBot="1">
      <c r="A30" s="763"/>
      <c r="B30" s="763"/>
      <c r="C30" s="777"/>
      <c r="D30" s="765"/>
      <c r="E30" s="765"/>
      <c r="F30" s="768"/>
      <c r="G30" s="40" t="s">
        <v>68</v>
      </c>
      <c r="H30" s="62"/>
      <c r="I30" s="42"/>
      <c r="J30" s="42"/>
      <c r="K30" s="42"/>
      <c r="L30" s="43"/>
      <c r="M30" s="65"/>
      <c r="N30" s="63"/>
      <c r="O30" s="63"/>
      <c r="P30" s="68"/>
      <c r="Q30" s="506"/>
      <c r="R30" s="499"/>
      <c r="S30" s="499"/>
      <c r="T30" s="781"/>
      <c r="U30" s="500"/>
      <c r="V30" s="507"/>
      <c r="W30" s="514" t="s">
        <v>265</v>
      </c>
      <c r="X30" s="514" t="s">
        <v>265</v>
      </c>
      <c r="Y30" s="500"/>
      <c r="Z30" s="62"/>
      <c r="AA30" s="42"/>
      <c r="AB30" s="42"/>
      <c r="AC30" s="68"/>
      <c r="AD30" s="69"/>
      <c r="AE30" s="337"/>
      <c r="AG30" s="763"/>
    </row>
    <row r="31" spans="1:35" ht="24.75" customHeight="1" thickTop="1" thickBot="1">
      <c r="A31" s="762">
        <v>10</v>
      </c>
      <c r="B31" s="762">
        <v>7</v>
      </c>
      <c r="C31" s="777"/>
      <c r="D31" s="764" t="s">
        <v>86</v>
      </c>
      <c r="E31" s="766" t="s">
        <v>65</v>
      </c>
      <c r="F31" s="767">
        <v>1000</v>
      </c>
      <c r="G31" s="57" t="s">
        <v>66</v>
      </c>
      <c r="H31" s="58"/>
      <c r="I31" s="18"/>
      <c r="J31" s="18"/>
      <c r="K31" s="18"/>
      <c r="L31" s="19"/>
      <c r="M31" s="59"/>
      <c r="N31" s="18"/>
      <c r="O31" s="18"/>
      <c r="P31" s="25"/>
      <c r="Q31" s="502"/>
      <c r="R31" s="503"/>
      <c r="S31" s="503"/>
      <c r="T31" s="781"/>
      <c r="U31" s="504"/>
      <c r="V31" s="505"/>
      <c r="W31" s="503"/>
      <c r="X31" s="509">
        <v>1000</v>
      </c>
      <c r="Y31" s="504"/>
      <c r="Z31" s="58"/>
      <c r="AA31" s="18"/>
      <c r="AB31" s="18"/>
      <c r="AC31" s="25"/>
      <c r="AD31" s="61"/>
      <c r="AE31" s="338"/>
      <c r="AG31" s="762">
        <v>10</v>
      </c>
    </row>
    <row r="32" spans="1:35" ht="24" customHeight="1" thickBot="1">
      <c r="A32" s="763"/>
      <c r="B32" s="763"/>
      <c r="C32" s="777"/>
      <c r="D32" s="770"/>
      <c r="E32" s="765"/>
      <c r="F32" s="768"/>
      <c r="G32" s="40" t="s">
        <v>68</v>
      </c>
      <c r="H32" s="62"/>
      <c r="I32" s="42"/>
      <c r="J32" s="42"/>
      <c r="K32" s="42"/>
      <c r="L32" s="43"/>
      <c r="M32" s="65"/>
      <c r="N32" s="63"/>
      <c r="O32" s="63"/>
      <c r="P32" s="68"/>
      <c r="Q32" s="506"/>
      <c r="R32" s="499"/>
      <c r="S32" s="499"/>
      <c r="T32" s="781"/>
      <c r="U32" s="500"/>
      <c r="V32" s="501"/>
      <c r="W32" s="507"/>
      <c r="X32" s="514" t="s">
        <v>265</v>
      </c>
      <c r="Y32" s="500"/>
      <c r="Z32" s="62"/>
      <c r="AA32" s="42"/>
      <c r="AB32" s="42"/>
      <c r="AC32" s="68"/>
      <c r="AD32" s="69"/>
      <c r="AE32" s="337"/>
      <c r="AG32" s="763"/>
    </row>
    <row r="33" spans="1:33" ht="24.75" customHeight="1" thickTop="1" thickBot="1">
      <c r="A33" s="762">
        <v>11</v>
      </c>
      <c r="B33" s="762">
        <v>8</v>
      </c>
      <c r="C33" s="777"/>
      <c r="D33" s="764" t="s">
        <v>88</v>
      </c>
      <c r="E33" s="766" t="s">
        <v>73</v>
      </c>
      <c r="F33" s="767">
        <v>2000</v>
      </c>
      <c r="G33" s="57" t="s">
        <v>66</v>
      </c>
      <c r="H33" s="58"/>
      <c r="I33" s="18"/>
      <c r="J33" s="18"/>
      <c r="K33" s="18"/>
      <c r="L33" s="19"/>
      <c r="M33" s="59"/>
      <c r="N33" s="18"/>
      <c r="O33" s="18"/>
      <c r="P33" s="25"/>
      <c r="Q33" s="502"/>
      <c r="R33" s="503"/>
      <c r="S33" s="503"/>
      <c r="T33" s="781"/>
      <c r="U33" s="504"/>
      <c r="V33" s="505"/>
      <c r="W33" s="503"/>
      <c r="X33" s="503"/>
      <c r="Y33" s="510">
        <v>2000</v>
      </c>
      <c r="Z33" s="58"/>
      <c r="AA33" s="18"/>
      <c r="AB33" s="18"/>
      <c r="AC33" s="25"/>
      <c r="AD33" s="61"/>
      <c r="AE33" s="338"/>
      <c r="AG33" s="762">
        <v>11</v>
      </c>
    </row>
    <row r="34" spans="1:33" ht="24" customHeight="1" thickBot="1">
      <c r="A34" s="769"/>
      <c r="B34" s="769"/>
      <c r="C34" s="777"/>
      <c r="D34" s="766"/>
      <c r="E34" s="765"/>
      <c r="F34" s="768"/>
      <c r="G34" s="40" t="s">
        <v>68</v>
      </c>
      <c r="H34" s="62"/>
      <c r="I34" s="42"/>
      <c r="J34" s="42"/>
      <c r="K34" s="42"/>
      <c r="L34" s="43"/>
      <c r="M34" s="65"/>
      <c r="N34" s="63"/>
      <c r="O34" s="63"/>
      <c r="P34" s="68"/>
      <c r="Q34" s="506"/>
      <c r="R34" s="499"/>
      <c r="S34" s="499"/>
      <c r="T34" s="781"/>
      <c r="U34" s="500"/>
      <c r="V34" s="501"/>
      <c r="W34" s="507"/>
      <c r="X34" s="507"/>
      <c r="Y34" s="513" t="s">
        <v>265</v>
      </c>
      <c r="Z34" s="62"/>
      <c r="AA34" s="42"/>
      <c r="AB34" s="42"/>
      <c r="AC34" s="68"/>
      <c r="AD34" s="69"/>
      <c r="AE34" s="337"/>
      <c r="AG34" s="763"/>
    </row>
    <row r="35" spans="1:33" ht="24.75" thickTop="1" thickBot="1">
      <c r="A35" s="769"/>
      <c r="B35" s="769"/>
      <c r="C35" s="777"/>
      <c r="D35" s="766"/>
      <c r="E35" s="771" t="s">
        <v>90</v>
      </c>
      <c r="F35" s="767">
        <v>5</v>
      </c>
      <c r="G35" s="57" t="s">
        <v>66</v>
      </c>
      <c r="H35" s="58"/>
      <c r="I35" s="18"/>
      <c r="J35" s="18"/>
      <c r="K35" s="18"/>
      <c r="L35" s="19"/>
      <c r="M35" s="59"/>
      <c r="N35" s="18"/>
      <c r="O35" s="18"/>
      <c r="P35" s="25"/>
      <c r="Q35" s="494">
        <v>5</v>
      </c>
      <c r="R35" s="503"/>
      <c r="S35" s="503"/>
      <c r="T35" s="781"/>
      <c r="U35" s="504"/>
      <c r="V35" s="505"/>
      <c r="W35" s="503"/>
      <c r="X35" s="503"/>
      <c r="Y35" s="504"/>
      <c r="Z35" s="58"/>
      <c r="AA35" s="18"/>
      <c r="AB35" s="18"/>
      <c r="AC35" s="25"/>
      <c r="AD35" s="61"/>
      <c r="AE35" s="338"/>
      <c r="AG35" s="78"/>
    </row>
    <row r="36" spans="1:33" ht="24" thickBot="1">
      <c r="A36" s="763"/>
      <c r="B36" s="763"/>
      <c r="C36" s="777"/>
      <c r="D36" s="770"/>
      <c r="E36" s="765"/>
      <c r="F36" s="768"/>
      <c r="G36" s="40" t="s">
        <v>68</v>
      </c>
      <c r="H36" s="62"/>
      <c r="I36" s="42"/>
      <c r="J36" s="42"/>
      <c r="K36" s="42"/>
      <c r="L36" s="43"/>
      <c r="M36" s="65"/>
      <c r="N36" s="63"/>
      <c r="O36" s="63"/>
      <c r="P36" s="68"/>
      <c r="Q36" s="498" t="s">
        <v>265</v>
      </c>
      <c r="R36" s="499"/>
      <c r="S36" s="499"/>
      <c r="T36" s="781"/>
      <c r="U36" s="500"/>
      <c r="V36" s="501"/>
      <c r="W36" s="507"/>
      <c r="X36" s="507"/>
      <c r="Y36" s="500"/>
      <c r="Z36" s="62"/>
      <c r="AA36" s="42"/>
      <c r="AB36" s="42"/>
      <c r="AC36" s="68"/>
      <c r="AD36" s="69"/>
      <c r="AE36" s="337"/>
      <c r="AG36" s="80"/>
    </row>
    <row r="37" spans="1:33" ht="24.75" customHeight="1" thickTop="1" thickBot="1">
      <c r="A37" s="762">
        <v>12</v>
      </c>
      <c r="B37" s="762">
        <v>9</v>
      </c>
      <c r="C37" s="777"/>
      <c r="D37" s="764" t="s">
        <v>91</v>
      </c>
      <c r="E37" s="766" t="s">
        <v>65</v>
      </c>
      <c r="F37" s="767">
        <v>2000</v>
      </c>
      <c r="G37" s="57" t="s">
        <v>66</v>
      </c>
      <c r="H37" s="58"/>
      <c r="I37" s="18"/>
      <c r="J37" s="18"/>
      <c r="K37" s="18"/>
      <c r="L37" s="19"/>
      <c r="M37" s="59"/>
      <c r="N37" s="18"/>
      <c r="O37" s="18"/>
      <c r="P37" s="25"/>
      <c r="Q37" s="502"/>
      <c r="R37" s="503"/>
      <c r="S37" s="503"/>
      <c r="T37" s="781"/>
      <c r="U37" s="504"/>
      <c r="V37" s="505"/>
      <c r="W37" s="503"/>
      <c r="X37" s="503"/>
      <c r="Y37" s="504"/>
      <c r="Z37" s="494">
        <v>2000</v>
      </c>
      <c r="AA37" s="18"/>
      <c r="AB37" s="18"/>
      <c r="AC37" s="25"/>
      <c r="AD37" s="61"/>
      <c r="AE37" s="338"/>
      <c r="AG37" s="762">
        <v>12</v>
      </c>
    </row>
    <row r="38" spans="1:33" ht="24" customHeight="1" thickBot="1">
      <c r="A38" s="763"/>
      <c r="B38" s="763"/>
      <c r="C38" s="777"/>
      <c r="D38" s="765"/>
      <c r="E38" s="765"/>
      <c r="F38" s="768"/>
      <c r="G38" s="40" t="s">
        <v>68</v>
      </c>
      <c r="H38" s="62"/>
      <c r="I38" s="42"/>
      <c r="J38" s="42"/>
      <c r="K38" s="42"/>
      <c r="L38" s="43"/>
      <c r="M38" s="65"/>
      <c r="N38" s="63"/>
      <c r="O38" s="63"/>
      <c r="P38" s="68"/>
      <c r="Q38" s="506"/>
      <c r="R38" s="499"/>
      <c r="S38" s="499"/>
      <c r="T38" s="781"/>
      <c r="U38" s="500"/>
      <c r="V38" s="501"/>
      <c r="W38" s="507"/>
      <c r="X38" s="507"/>
      <c r="Y38" s="500"/>
      <c r="Z38" s="512" t="s">
        <v>265</v>
      </c>
      <c r="AA38" s="42"/>
      <c r="AB38" s="42"/>
      <c r="AC38" s="68"/>
      <c r="AD38" s="69"/>
      <c r="AE38" s="337"/>
      <c r="AG38" s="763"/>
    </row>
    <row r="39" spans="1:33" ht="24.75" customHeight="1" thickTop="1" thickBot="1">
      <c r="A39" s="762">
        <v>13</v>
      </c>
      <c r="B39" s="762">
        <v>10</v>
      </c>
      <c r="C39" s="777"/>
      <c r="D39" s="764" t="s">
        <v>92</v>
      </c>
      <c r="E39" s="766" t="s">
        <v>65</v>
      </c>
      <c r="F39" s="767">
        <v>1000</v>
      </c>
      <c r="G39" s="57" t="s">
        <v>66</v>
      </c>
      <c r="H39" s="58"/>
      <c r="I39" s="18"/>
      <c r="J39" s="18"/>
      <c r="K39" s="18"/>
      <c r="L39" s="19"/>
      <c r="M39" s="59"/>
      <c r="N39" s="18"/>
      <c r="O39" s="18"/>
      <c r="P39" s="25"/>
      <c r="Q39" s="502"/>
      <c r="R39" s="503"/>
      <c r="S39" s="503"/>
      <c r="T39" s="781"/>
      <c r="U39" s="504"/>
      <c r="V39" s="505"/>
      <c r="W39" s="503"/>
      <c r="X39" s="503"/>
      <c r="Y39" s="504"/>
      <c r="Z39" s="58"/>
      <c r="AA39" s="509">
        <v>1000</v>
      </c>
      <c r="AB39" s="18"/>
      <c r="AC39" s="25"/>
      <c r="AD39" s="61"/>
      <c r="AE39" s="338"/>
      <c r="AG39" s="762">
        <v>13</v>
      </c>
    </row>
    <row r="40" spans="1:33" ht="24" customHeight="1" thickBot="1">
      <c r="A40" s="769"/>
      <c r="B40" s="769"/>
      <c r="C40" s="777"/>
      <c r="D40" s="766"/>
      <c r="E40" s="766"/>
      <c r="F40" s="813"/>
      <c r="G40" s="26" t="s">
        <v>68</v>
      </c>
      <c r="H40" s="227"/>
      <c r="I40" s="228"/>
      <c r="J40" s="228"/>
      <c r="K40" s="228"/>
      <c r="L40" s="229"/>
      <c r="M40" s="227"/>
      <c r="N40" s="31"/>
      <c r="O40" s="31"/>
      <c r="P40" s="230"/>
      <c r="Q40" s="515"/>
      <c r="R40" s="516"/>
      <c r="S40" s="516"/>
      <c r="T40" s="781"/>
      <c r="U40" s="500"/>
      <c r="V40" s="501"/>
      <c r="W40" s="507"/>
      <c r="X40" s="507"/>
      <c r="Y40" s="500"/>
      <c r="Z40" s="62"/>
      <c r="AA40" s="514" t="s">
        <v>265</v>
      </c>
      <c r="AB40" s="42"/>
      <c r="AC40" s="68"/>
      <c r="AD40" s="69"/>
      <c r="AE40" s="337"/>
      <c r="AG40" s="763"/>
    </row>
    <row r="41" spans="1:33" ht="51" customHeight="1" thickBot="1">
      <c r="A41" s="791">
        <v>16900</v>
      </c>
      <c r="B41" s="792"/>
      <c r="C41" s="795" t="s">
        <v>189</v>
      </c>
      <c r="D41" s="796"/>
      <c r="E41" s="796"/>
      <c r="F41" s="797"/>
      <c r="G41" s="234" t="s">
        <v>190</v>
      </c>
      <c r="H41" s="231"/>
      <c r="I41" s="124"/>
      <c r="J41" s="124"/>
      <c r="K41" s="124"/>
      <c r="L41" s="232"/>
      <c r="M41" s="801" t="s">
        <v>110</v>
      </c>
      <c r="N41" s="803" t="s">
        <v>110</v>
      </c>
      <c r="O41" s="235">
        <v>3</v>
      </c>
      <c r="P41" s="236">
        <v>5</v>
      </c>
      <c r="Q41" s="237">
        <v>6</v>
      </c>
      <c r="R41" s="235">
        <v>6</v>
      </c>
      <c r="S41" s="235">
        <v>2</v>
      </c>
      <c r="T41" s="781"/>
      <c r="U41" s="241">
        <v>4</v>
      </c>
      <c r="V41" s="242">
        <v>4</v>
      </c>
      <c r="W41" s="243">
        <v>5</v>
      </c>
      <c r="X41" s="243">
        <v>6</v>
      </c>
      <c r="Y41" s="241">
        <v>6</v>
      </c>
      <c r="Z41" s="242">
        <v>6</v>
      </c>
      <c r="AA41" s="243">
        <v>5</v>
      </c>
      <c r="AB41" s="243"/>
      <c r="AC41" s="241"/>
      <c r="AD41" s="69"/>
      <c r="AE41" s="339">
        <f>SUM(O41:S41,U41:AC41)</f>
        <v>58</v>
      </c>
      <c r="AG41" s="226"/>
    </row>
    <row r="42" spans="1:33" ht="32.25" customHeight="1" thickBot="1">
      <c r="A42" s="793"/>
      <c r="B42" s="794"/>
      <c r="C42" s="798"/>
      <c r="D42" s="799"/>
      <c r="E42" s="799"/>
      <c r="F42" s="800"/>
      <c r="G42" s="233" t="s">
        <v>191</v>
      </c>
      <c r="H42" s="62"/>
      <c r="I42" s="81"/>
      <c r="J42" s="81"/>
      <c r="K42" s="81"/>
      <c r="L42" s="82"/>
      <c r="M42" s="802"/>
      <c r="N42" s="804"/>
      <c r="O42" s="238">
        <f>54000000/A41</f>
        <v>3195.2662721893489</v>
      </c>
      <c r="P42" s="239">
        <f>(P41*'[7]Man Power'!$U$43)/'Valterra 26 Feb'!$A$41</f>
        <v>5520.8872781065093</v>
      </c>
      <c r="Q42" s="240">
        <f>(Q41*'[7]Man Power'!$U$43)/'Valterra 26 Feb'!$A$41</f>
        <v>6625.0647337278106</v>
      </c>
      <c r="R42" s="238">
        <f>(R41*'[7]Man Power'!$U$43)/'Valterra 26 Feb'!$A$41</f>
        <v>6625.0647337278106</v>
      </c>
      <c r="S42" s="238">
        <f>(S41*'[7]Man Power'!$U$43)/'Valterra 26 Feb'!$A$41</f>
        <v>2208.3549112426035</v>
      </c>
      <c r="T42" s="782"/>
      <c r="U42" s="239">
        <f>(U41*'[7]Man Power'!$U$43)/'Valterra 26 Feb'!$A$41</f>
        <v>4416.709822485207</v>
      </c>
      <c r="V42" s="240">
        <f>(V41*'[7]Man Power'!$U$43)/'Valterra 26 Feb'!$A$41</f>
        <v>4416.709822485207</v>
      </c>
      <c r="W42" s="244">
        <f>(W41*'[7]Man Power'!$U$43)/'Valterra 26 Feb'!$A$41</f>
        <v>5520.8872781065093</v>
      </c>
      <c r="X42" s="244">
        <f>(X41*'[7]Man Power'!$U$43)/'Valterra 26 Feb'!$A$41</f>
        <v>6625.0647337278106</v>
      </c>
      <c r="Y42" s="239">
        <f>(Y41*'[7]Man Power'!$U$43)/'Valterra 26 Feb'!$A$41</f>
        <v>6625.0647337278106</v>
      </c>
      <c r="Z42" s="240">
        <f>(Z41*'[7]Man Power'!$U$43)/'Valterra 26 Feb'!$A$41</f>
        <v>6625.0647337278106</v>
      </c>
      <c r="AA42" s="244">
        <f>(AA41*'[7]Man Power'!$U$43)/'Valterra 26 Feb'!$A$41</f>
        <v>5520.8872781065093</v>
      </c>
      <c r="AB42" s="244">
        <f>(AB41*'[7]Man Power'!$U$43)/'Valterra 26 Feb'!$A$41</f>
        <v>0</v>
      </c>
      <c r="AC42" s="239">
        <f>(AC41*'[7]Man Power'!$U$43)/'Valterra 26 Feb'!$A$41</f>
        <v>0</v>
      </c>
      <c r="AD42" s="69"/>
      <c r="AE42" s="340">
        <f>SUM(O42:S42,U42:AC42)</f>
        <v>63925.026331360954</v>
      </c>
      <c r="AG42" s="226"/>
    </row>
    <row r="43" spans="1:33" ht="9.75" customHeight="1" thickBot="1">
      <c r="AE43" s="85"/>
      <c r="AF43" s="85"/>
    </row>
    <row r="44" spans="1:33" s="85" customFormat="1" ht="19.5" hidden="1" customHeight="1" thickBot="1">
      <c r="B44" s="805" t="s">
        <v>93</v>
      </c>
      <c r="C44" s="806"/>
      <c r="D44" s="488"/>
      <c r="E44" s="809" t="s">
        <v>94</v>
      </c>
      <c r="F44" s="811" t="s">
        <v>95</v>
      </c>
      <c r="G44" s="811"/>
      <c r="H44" s="811"/>
      <c r="I44" s="811"/>
      <c r="J44" s="787" t="s">
        <v>96</v>
      </c>
      <c r="K44" s="788"/>
      <c r="L44" s="788"/>
      <c r="M44" s="788"/>
      <c r="N44" s="812"/>
      <c r="X44" s="787" t="s">
        <v>96</v>
      </c>
      <c r="Y44" s="788"/>
      <c r="AB44" s="787" t="s">
        <v>96</v>
      </c>
      <c r="AC44" s="788"/>
      <c r="AD44" s="86"/>
      <c r="AE44"/>
      <c r="AF44"/>
    </row>
    <row r="45" spans="1:33" s="85" customFormat="1" ht="22.5" hidden="1" customHeight="1" thickBot="1">
      <c r="B45" s="807"/>
      <c r="C45" s="808"/>
      <c r="D45" s="87"/>
      <c r="E45" s="810"/>
      <c r="F45" s="88" t="s">
        <v>97</v>
      </c>
      <c r="G45" s="88"/>
      <c r="H45" s="88" t="s">
        <v>98</v>
      </c>
      <c r="I45" s="88" t="s">
        <v>99</v>
      </c>
      <c r="J45" s="88" t="s">
        <v>97</v>
      </c>
      <c r="K45" s="88" t="s">
        <v>97</v>
      </c>
      <c r="L45" s="88"/>
      <c r="M45" s="88" t="s">
        <v>98</v>
      </c>
      <c r="N45" s="88" t="s">
        <v>99</v>
      </c>
      <c r="V45" s="88" t="s">
        <v>98</v>
      </c>
      <c r="W45" s="88" t="s">
        <v>99</v>
      </c>
      <c r="X45" s="88" t="s">
        <v>97</v>
      </c>
      <c r="Y45" s="88" t="s">
        <v>100</v>
      </c>
      <c r="Z45" s="88" t="s">
        <v>98</v>
      </c>
      <c r="AA45" s="88" t="s">
        <v>99</v>
      </c>
      <c r="AB45" s="88" t="s">
        <v>97</v>
      </c>
      <c r="AC45" s="88" t="s">
        <v>100</v>
      </c>
      <c r="AD45" s="86"/>
      <c r="AE45"/>
      <c r="AF45"/>
    </row>
    <row r="46" spans="1:33" ht="21" hidden="1" thickBot="1">
      <c r="B46" s="89" t="s">
        <v>101</v>
      </c>
      <c r="C46" s="90"/>
      <c r="D46" s="91"/>
      <c r="E46" s="92"/>
      <c r="F46" s="93"/>
      <c r="G46" s="93"/>
      <c r="H46" s="93"/>
      <c r="I46" s="93"/>
      <c r="J46" s="93"/>
      <c r="K46" s="93"/>
      <c r="L46" s="93"/>
      <c r="M46" s="93"/>
      <c r="N46" s="94"/>
      <c r="O46" s="95"/>
      <c r="V46" s="93"/>
      <c r="W46" s="93"/>
      <c r="X46" s="93"/>
      <c r="Y46" s="94"/>
      <c r="Z46" s="93"/>
      <c r="AA46" s="93"/>
      <c r="AB46" s="93"/>
      <c r="AC46" s="94"/>
      <c r="AE46" s="96"/>
      <c r="AF46" s="96"/>
    </row>
    <row r="47" spans="1:33" ht="21" hidden="1" thickBot="1">
      <c r="B47" s="97"/>
      <c r="C47" s="98" t="s">
        <v>102</v>
      </c>
      <c r="D47" s="99"/>
      <c r="E47" s="100" t="s">
        <v>103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2"/>
      <c r="V47" s="101"/>
      <c r="W47" s="101"/>
      <c r="X47" s="101"/>
      <c r="Y47" s="101"/>
      <c r="Z47" s="101"/>
      <c r="AA47" s="101"/>
      <c r="AB47" s="101"/>
      <c r="AC47" s="101"/>
      <c r="AD47" s="103"/>
    </row>
    <row r="48" spans="1:33" ht="21" hidden="1" thickBot="1">
      <c r="B48" s="97"/>
      <c r="C48" s="98" t="s">
        <v>104</v>
      </c>
      <c r="D48" s="99"/>
      <c r="E48" s="100">
        <v>17</v>
      </c>
      <c r="F48" s="104"/>
      <c r="G48" s="105"/>
      <c r="H48" s="106"/>
      <c r="I48" s="104"/>
      <c r="J48" s="101"/>
      <c r="K48" s="101"/>
      <c r="L48" s="101"/>
      <c r="M48" s="101"/>
      <c r="N48" s="106"/>
      <c r="O48" s="107" t="e">
        <f>#REF!*O47</f>
        <v>#REF!</v>
      </c>
      <c r="V48" s="106"/>
      <c r="W48" s="104"/>
      <c r="X48" s="101"/>
      <c r="Y48" s="101"/>
      <c r="Z48" s="106"/>
      <c r="AA48" s="104"/>
      <c r="AB48" s="101"/>
      <c r="AC48" s="101"/>
      <c r="AD48" s="103"/>
    </row>
    <row r="49" spans="1:35" ht="21" hidden="1" thickBot="1">
      <c r="B49" s="108"/>
      <c r="C49" s="98" t="s">
        <v>105</v>
      </c>
      <c r="D49" s="99"/>
      <c r="E49" s="100" t="s">
        <v>103</v>
      </c>
      <c r="F49" s="105"/>
      <c r="G49" s="105"/>
      <c r="H49" s="105"/>
      <c r="I49" s="105"/>
      <c r="J49" s="105"/>
      <c r="K49" s="105"/>
      <c r="L49" s="105"/>
      <c r="M49" s="106"/>
      <c r="N49" s="106"/>
      <c r="V49" s="105"/>
      <c r="W49" s="105"/>
      <c r="X49" s="105"/>
      <c r="Y49" s="106"/>
      <c r="Z49" s="105"/>
      <c r="AA49" s="105"/>
      <c r="AB49" s="105"/>
      <c r="AC49" s="106"/>
    </row>
    <row r="50" spans="1:35" s="96" customFormat="1" ht="21" hidden="1" thickBot="1">
      <c r="B50" s="109"/>
      <c r="C50" s="110" t="s">
        <v>106</v>
      </c>
      <c r="D50" s="111"/>
      <c r="E50" s="112"/>
      <c r="F50" s="113"/>
      <c r="G50" s="113"/>
      <c r="H50" s="113"/>
      <c r="I50" s="114">
        <v>150</v>
      </c>
      <c r="J50" s="115">
        <v>540</v>
      </c>
      <c r="K50" s="115">
        <v>540</v>
      </c>
      <c r="L50" s="115"/>
      <c r="M50" s="116">
        <v>390</v>
      </c>
      <c r="N50" s="116">
        <v>420</v>
      </c>
      <c r="V50" s="113"/>
      <c r="W50" s="114">
        <v>150</v>
      </c>
      <c r="X50" s="115">
        <v>540</v>
      </c>
      <c r="Y50" s="117"/>
      <c r="Z50" s="113"/>
      <c r="AA50" s="114">
        <v>150</v>
      </c>
      <c r="AB50" s="115">
        <v>540</v>
      </c>
      <c r="AC50" s="117"/>
      <c r="AE50"/>
      <c r="AF50"/>
    </row>
    <row r="51" spans="1:35" ht="21" hidden="1" thickBot="1">
      <c r="B51" t="s">
        <v>107</v>
      </c>
    </row>
    <row r="52" spans="1:35" ht="21" hidden="1" thickBot="1"/>
    <row r="53" spans="1:35" s="9" customFormat="1" ht="24" hidden="1" thickBot="1">
      <c r="A53" s="789" t="s">
        <v>34</v>
      </c>
      <c r="B53" s="783" t="s">
        <v>3</v>
      </c>
      <c r="C53" s="785" t="s">
        <v>188</v>
      </c>
      <c r="D53" s="785" t="s">
        <v>35</v>
      </c>
      <c r="E53" s="785" t="s">
        <v>4</v>
      </c>
      <c r="F53" s="785" t="s">
        <v>36</v>
      </c>
      <c r="G53" s="48" t="s">
        <v>37</v>
      </c>
      <c r="H53" s="772">
        <v>46023</v>
      </c>
      <c r="I53" s="773"/>
      <c r="J53" s="773"/>
      <c r="K53" s="773"/>
      <c r="L53" s="773"/>
      <c r="M53" s="772" t="s">
        <v>38</v>
      </c>
      <c r="N53" s="773"/>
      <c r="O53" s="773"/>
      <c r="P53" s="774"/>
      <c r="Q53" s="772" t="s">
        <v>39</v>
      </c>
      <c r="R53" s="773"/>
      <c r="S53" s="773"/>
      <c r="T53" s="773"/>
      <c r="U53" s="774"/>
      <c r="V53" s="772">
        <v>46113</v>
      </c>
      <c r="W53" s="773"/>
      <c r="X53" s="773"/>
      <c r="Y53" s="774"/>
      <c r="Z53" s="772">
        <v>46143</v>
      </c>
      <c r="AA53" s="773"/>
      <c r="AB53" s="773"/>
      <c r="AC53" s="774"/>
      <c r="AD53" s="49"/>
      <c r="AE53" s="3"/>
      <c r="AF53" s="3"/>
      <c r="AG53"/>
    </row>
    <row r="54" spans="1:35" s="9" customFormat="1" ht="24" hidden="1" thickBot="1">
      <c r="A54" s="790"/>
      <c r="B54" s="784"/>
      <c r="C54" s="786"/>
      <c r="D54" s="786"/>
      <c r="E54" s="786"/>
      <c r="F54" s="786"/>
      <c r="G54" s="50" t="s">
        <v>40</v>
      </c>
      <c r="H54" s="51" t="s">
        <v>41</v>
      </c>
      <c r="I54" s="11" t="s">
        <v>42</v>
      </c>
      <c r="J54" s="52" t="s">
        <v>43</v>
      </c>
      <c r="K54" s="11" t="s">
        <v>44</v>
      </c>
      <c r="L54" s="53" t="s">
        <v>45</v>
      </c>
      <c r="M54" s="54" t="s">
        <v>46</v>
      </c>
      <c r="N54" s="10" t="s">
        <v>47</v>
      </c>
      <c r="O54" s="11" t="s">
        <v>48</v>
      </c>
      <c r="P54" s="55" t="s">
        <v>49</v>
      </c>
      <c r="Q54" s="54" t="s">
        <v>50</v>
      </c>
      <c r="R54" s="10" t="s">
        <v>51</v>
      </c>
      <c r="S54" s="10" t="s">
        <v>52</v>
      </c>
      <c r="T54" s="56" t="s">
        <v>53</v>
      </c>
      <c r="U54" s="11" t="s">
        <v>54</v>
      </c>
      <c r="V54" s="51" t="s">
        <v>55</v>
      </c>
      <c r="W54" s="11" t="s">
        <v>56</v>
      </c>
      <c r="X54" s="10" t="s">
        <v>57</v>
      </c>
      <c r="Y54" s="13" t="s">
        <v>58</v>
      </c>
      <c r="Z54" s="51" t="s">
        <v>59</v>
      </c>
      <c r="AA54" s="11" t="s">
        <v>60</v>
      </c>
      <c r="AB54" s="10" t="s">
        <v>61</v>
      </c>
      <c r="AC54" s="13" t="s">
        <v>62</v>
      </c>
      <c r="AD54" s="14"/>
      <c r="AE54" s="3"/>
      <c r="AF54" s="3"/>
      <c r="AG54"/>
    </row>
    <row r="55" spans="1:35" s="3" customFormat="1" ht="25.15" hidden="1" customHeight="1" thickTop="1" thickBot="1">
      <c r="A55" s="775">
        <v>5</v>
      </c>
      <c r="B55" s="775">
        <v>1</v>
      </c>
      <c r="C55" s="776" t="s">
        <v>63</v>
      </c>
      <c r="D55" s="764" t="s">
        <v>64</v>
      </c>
      <c r="E55" s="764" t="s">
        <v>65</v>
      </c>
      <c r="F55" s="779">
        <v>1000</v>
      </c>
      <c r="G55" s="57" t="s">
        <v>66</v>
      </c>
      <c r="H55" s="58"/>
      <c r="I55" s="18"/>
      <c r="J55" s="18"/>
      <c r="K55" s="18"/>
      <c r="L55" s="19"/>
      <c r="M55" s="59"/>
      <c r="N55" s="60">
        <v>540</v>
      </c>
      <c r="O55" s="60">
        <v>460</v>
      </c>
      <c r="P55" s="25"/>
      <c r="Q55" s="59"/>
      <c r="R55" s="18"/>
      <c r="S55" s="18"/>
      <c r="T55" s="780" t="s">
        <v>67</v>
      </c>
      <c r="U55" s="25"/>
      <c r="V55" s="58"/>
      <c r="W55" s="18"/>
      <c r="X55" s="18"/>
      <c r="Y55" s="25"/>
      <c r="Z55" s="58"/>
      <c r="AA55" s="18"/>
      <c r="AB55" s="18"/>
      <c r="AC55" s="25"/>
      <c r="AD55" s="61"/>
      <c r="AE55"/>
      <c r="AF55"/>
      <c r="AG55" s="775">
        <v>5</v>
      </c>
    </row>
    <row r="56" spans="1:35" s="3" customFormat="1" ht="25.15" hidden="1" customHeight="1" thickBot="1">
      <c r="A56" s="763"/>
      <c r="B56" s="763"/>
      <c r="C56" s="777"/>
      <c r="D56" s="770"/>
      <c r="E56" s="765"/>
      <c r="F56" s="768"/>
      <c r="G56" s="40" t="s">
        <v>68</v>
      </c>
      <c r="H56" s="62"/>
      <c r="I56" s="63"/>
      <c r="J56" s="63"/>
      <c r="K56" s="63"/>
      <c r="L56" s="64"/>
      <c r="M56" s="65"/>
      <c r="N56" s="76" t="s">
        <v>81</v>
      </c>
      <c r="O56" s="76" t="s">
        <v>87</v>
      </c>
      <c r="P56" s="68"/>
      <c r="Q56" s="65"/>
      <c r="R56" s="63"/>
      <c r="S56" s="63"/>
      <c r="T56" s="781"/>
      <c r="U56" s="68"/>
      <c r="V56" s="62"/>
      <c r="W56" s="63"/>
      <c r="X56" s="63"/>
      <c r="Y56" s="68"/>
      <c r="Z56" s="62"/>
      <c r="AA56" s="63"/>
      <c r="AB56" s="63"/>
      <c r="AC56" s="68"/>
      <c r="AD56" s="69"/>
      <c r="AE56"/>
      <c r="AF56"/>
      <c r="AG56" s="763"/>
      <c r="AH56">
        <v>150</v>
      </c>
      <c r="AI56" s="37">
        <v>45961</v>
      </c>
    </row>
    <row r="57" spans="1:35" ht="24.75" hidden="1" thickTop="1" thickBot="1">
      <c r="A57" s="762">
        <v>6</v>
      </c>
      <c r="B57" s="762">
        <v>2</v>
      </c>
      <c r="C57" s="777"/>
      <c r="D57" s="764" t="s">
        <v>72</v>
      </c>
      <c r="E57" s="766" t="s">
        <v>73</v>
      </c>
      <c r="F57" s="767">
        <v>1000</v>
      </c>
      <c r="G57" s="57" t="s">
        <v>66</v>
      </c>
      <c r="H57" s="58"/>
      <c r="I57" s="18"/>
      <c r="J57" s="60">
        <v>30</v>
      </c>
      <c r="K57" s="60">
        <v>90</v>
      </c>
      <c r="L57" s="19"/>
      <c r="M57" s="70">
        <v>420</v>
      </c>
      <c r="N57" s="60">
        <v>450</v>
      </c>
      <c r="O57" s="60">
        <v>10</v>
      </c>
      <c r="P57" s="25"/>
      <c r="Q57" s="59"/>
      <c r="R57" s="18"/>
      <c r="S57" s="18"/>
      <c r="T57" s="781"/>
      <c r="U57" s="25"/>
      <c r="V57" s="58"/>
      <c r="W57" s="18"/>
      <c r="X57" s="18"/>
      <c r="Y57" s="25"/>
      <c r="Z57" s="58"/>
      <c r="AA57" s="18"/>
      <c r="AB57" s="18"/>
      <c r="AC57" s="25"/>
      <c r="AD57" s="61"/>
      <c r="AG57" s="762">
        <v>6</v>
      </c>
    </row>
    <row r="58" spans="1:35" ht="24" hidden="1" thickBot="1">
      <c r="A58" s="763"/>
      <c r="B58" s="763"/>
      <c r="C58" s="777"/>
      <c r="D58" s="765"/>
      <c r="E58" s="765"/>
      <c r="F58" s="768"/>
      <c r="G58" s="40" t="s">
        <v>68</v>
      </c>
      <c r="H58" s="62"/>
      <c r="I58" s="42"/>
      <c r="J58" s="66" t="s">
        <v>74</v>
      </c>
      <c r="K58" s="66" t="s">
        <v>75</v>
      </c>
      <c r="L58" s="43"/>
      <c r="M58" s="71" t="s">
        <v>76</v>
      </c>
      <c r="N58" s="76" t="s">
        <v>81</v>
      </c>
      <c r="O58" s="76" t="s">
        <v>87</v>
      </c>
      <c r="P58" s="68"/>
      <c r="Q58" s="65"/>
      <c r="R58" s="63"/>
      <c r="S58" s="63"/>
      <c r="T58" s="781"/>
      <c r="U58" s="68"/>
      <c r="V58" s="62"/>
      <c r="W58" s="42"/>
      <c r="X58" s="42"/>
      <c r="Y58" s="68"/>
      <c r="Z58" s="62"/>
      <c r="AA58" s="42"/>
      <c r="AB58" s="42"/>
      <c r="AC58" s="68"/>
      <c r="AD58" s="69"/>
      <c r="AG58" s="763"/>
    </row>
    <row r="59" spans="1:35" ht="24.75" hidden="1" thickTop="1" thickBot="1">
      <c r="A59" s="762">
        <v>7</v>
      </c>
      <c r="B59" s="762">
        <v>3</v>
      </c>
      <c r="C59" s="777"/>
      <c r="D59" s="764" t="s">
        <v>78</v>
      </c>
      <c r="E59" s="766" t="s">
        <v>65</v>
      </c>
      <c r="F59" s="767">
        <v>1000</v>
      </c>
      <c r="G59" s="57" t="s">
        <v>66</v>
      </c>
      <c r="H59" s="58"/>
      <c r="I59" s="18"/>
      <c r="J59" s="18"/>
      <c r="K59" s="18"/>
      <c r="L59" s="19"/>
      <c r="M59" s="59"/>
      <c r="N59" s="18"/>
      <c r="O59" s="18"/>
      <c r="P59" s="72">
        <v>720</v>
      </c>
      <c r="Q59" s="70">
        <v>280</v>
      </c>
      <c r="R59" s="18"/>
      <c r="S59" s="18"/>
      <c r="T59" s="781"/>
      <c r="U59" s="25"/>
      <c r="V59" s="58"/>
      <c r="W59" s="18"/>
      <c r="X59" s="18"/>
      <c r="Y59" s="25"/>
      <c r="Z59" s="58"/>
      <c r="AA59" s="18"/>
      <c r="AB59" s="18"/>
      <c r="AC59" s="25"/>
      <c r="AD59" s="61"/>
      <c r="AG59" s="762">
        <v>7</v>
      </c>
    </row>
    <row r="60" spans="1:35" ht="24" hidden="1" thickBot="1">
      <c r="A60" s="763"/>
      <c r="B60" s="763"/>
      <c r="C60" s="777"/>
      <c r="D60" s="765"/>
      <c r="E60" s="765"/>
      <c r="F60" s="768"/>
      <c r="G60" s="40" t="s">
        <v>68</v>
      </c>
      <c r="H60" s="62"/>
      <c r="I60" s="42"/>
      <c r="J60" s="42"/>
      <c r="K60" s="42"/>
      <c r="L60" s="43"/>
      <c r="M60" s="65"/>
      <c r="N60" s="63"/>
      <c r="O60" s="63"/>
      <c r="P60" s="67" t="s">
        <v>71</v>
      </c>
      <c r="Q60" s="73" t="s">
        <v>79</v>
      </c>
      <c r="R60" s="63"/>
      <c r="S60" s="63"/>
      <c r="T60" s="781"/>
      <c r="U60" s="68"/>
      <c r="V60" s="62"/>
      <c r="W60" s="42"/>
      <c r="X60" s="42"/>
      <c r="Y60" s="68"/>
      <c r="Z60" s="62"/>
      <c r="AA60" s="42"/>
      <c r="AB60" s="42"/>
      <c r="AC60" s="68"/>
      <c r="AD60" s="69"/>
      <c r="AG60" s="763"/>
    </row>
    <row r="61" spans="1:35" ht="24.75" hidden="1" thickTop="1" thickBot="1">
      <c r="A61" s="762">
        <v>8</v>
      </c>
      <c r="B61" s="762">
        <v>4</v>
      </c>
      <c r="C61" s="777"/>
      <c r="D61" s="764" t="s">
        <v>80</v>
      </c>
      <c r="E61" s="766" t="s">
        <v>73</v>
      </c>
      <c r="F61" s="767">
        <v>4000</v>
      </c>
      <c r="G61" s="57" t="s">
        <v>66</v>
      </c>
      <c r="H61" s="58"/>
      <c r="I61" s="18"/>
      <c r="J61" s="18"/>
      <c r="K61" s="18"/>
      <c r="L61" s="19"/>
      <c r="M61" s="59"/>
      <c r="N61" s="18"/>
      <c r="O61" s="60">
        <v>500</v>
      </c>
      <c r="P61" s="25"/>
      <c r="Q61" s="59"/>
      <c r="R61" s="60">
        <v>1260</v>
      </c>
      <c r="S61" s="18"/>
      <c r="T61" s="781"/>
      <c r="U61" s="72">
        <v>240</v>
      </c>
      <c r="V61" s="70">
        <v>2000</v>
      </c>
      <c r="W61" s="18"/>
      <c r="X61" s="18"/>
      <c r="Y61" s="25"/>
      <c r="Z61" s="58"/>
      <c r="AA61" s="18"/>
      <c r="AB61" s="18"/>
      <c r="AC61" s="25"/>
      <c r="AD61" s="61"/>
      <c r="AG61" s="74">
        <v>8</v>
      </c>
    </row>
    <row r="62" spans="1:35" ht="24" hidden="1" thickBot="1">
      <c r="A62" s="769"/>
      <c r="B62" s="769"/>
      <c r="C62" s="777"/>
      <c r="D62" s="770"/>
      <c r="E62" s="765"/>
      <c r="F62" s="768"/>
      <c r="G62" s="40" t="s">
        <v>68</v>
      </c>
      <c r="H62" s="62"/>
      <c r="I62" s="42"/>
      <c r="J62" s="42"/>
      <c r="K62" s="42"/>
      <c r="L62" s="43"/>
      <c r="M62" s="65"/>
      <c r="N62" s="63"/>
      <c r="O62" s="76" t="s">
        <v>87</v>
      </c>
      <c r="P62" s="45"/>
      <c r="Q62" s="75"/>
      <c r="R62" s="76" t="s">
        <v>81</v>
      </c>
      <c r="S62" s="63"/>
      <c r="T62" s="781"/>
      <c r="U62" s="67" t="s">
        <v>82</v>
      </c>
      <c r="V62" s="77" t="s">
        <v>79</v>
      </c>
      <c r="W62" s="42"/>
      <c r="X62" s="42"/>
      <c r="Y62" s="68"/>
      <c r="Z62" s="62"/>
      <c r="AA62" s="42"/>
      <c r="AB62" s="42"/>
      <c r="AC62" s="68"/>
      <c r="AD62" s="69"/>
      <c r="AG62" s="78"/>
    </row>
    <row r="63" spans="1:35" ht="24.75" hidden="1" thickTop="1" thickBot="1">
      <c r="A63" s="762">
        <v>9</v>
      </c>
      <c r="B63" s="762">
        <v>5</v>
      </c>
      <c r="C63" s="777"/>
      <c r="D63" s="764" t="s">
        <v>83</v>
      </c>
      <c r="E63" s="766" t="s">
        <v>65</v>
      </c>
      <c r="F63" s="767">
        <v>1000</v>
      </c>
      <c r="G63" s="57" t="s">
        <v>66</v>
      </c>
      <c r="H63" s="58"/>
      <c r="I63" s="18"/>
      <c r="J63" s="18"/>
      <c r="K63" s="18"/>
      <c r="L63" s="19"/>
      <c r="M63" s="59"/>
      <c r="N63" s="18"/>
      <c r="O63" s="18"/>
      <c r="P63" s="25"/>
      <c r="Q63" s="79"/>
      <c r="R63" s="18"/>
      <c r="S63" s="18"/>
      <c r="T63" s="781"/>
      <c r="U63" s="72">
        <v>1000</v>
      </c>
      <c r="V63" s="58"/>
      <c r="W63" s="18"/>
      <c r="X63" s="18"/>
      <c r="Y63" s="25"/>
      <c r="Z63" s="58"/>
      <c r="AA63" s="18"/>
      <c r="AB63" s="18"/>
      <c r="AC63" s="25"/>
      <c r="AD63" s="61"/>
      <c r="AG63" s="762">
        <v>9</v>
      </c>
    </row>
    <row r="64" spans="1:35" ht="24" hidden="1" thickBot="1">
      <c r="A64" s="763"/>
      <c r="B64" s="763"/>
      <c r="C64" s="777"/>
      <c r="D64" s="765"/>
      <c r="E64" s="765"/>
      <c r="F64" s="768"/>
      <c r="G64" s="40" t="s">
        <v>68</v>
      </c>
      <c r="H64" s="62"/>
      <c r="I64" s="42"/>
      <c r="J64" s="42"/>
      <c r="K64" s="42"/>
      <c r="L64" s="43"/>
      <c r="M64" s="65"/>
      <c r="N64" s="63"/>
      <c r="O64" s="63"/>
      <c r="P64" s="45"/>
      <c r="Q64" s="75"/>
      <c r="R64" s="63"/>
      <c r="S64" s="63"/>
      <c r="T64" s="781"/>
      <c r="U64" s="67" t="s">
        <v>82</v>
      </c>
      <c r="V64" s="62"/>
      <c r="W64" s="42"/>
      <c r="X64" s="42"/>
      <c r="Y64" s="68"/>
      <c r="Z64" s="62"/>
      <c r="AA64" s="42"/>
      <c r="AB64" s="42"/>
      <c r="AC64" s="68"/>
      <c r="AD64" s="69"/>
      <c r="AG64" s="763"/>
    </row>
    <row r="65" spans="1:33" ht="24.75" hidden="1" customHeight="1" thickTop="1" thickBot="1">
      <c r="A65" s="762">
        <v>4</v>
      </c>
      <c r="B65" s="762">
        <v>6</v>
      </c>
      <c r="C65" s="777"/>
      <c r="D65" s="764" t="s">
        <v>84</v>
      </c>
      <c r="E65" s="766" t="s">
        <v>85</v>
      </c>
      <c r="F65" s="767">
        <v>1500</v>
      </c>
      <c r="G65" s="57" t="s">
        <v>66</v>
      </c>
      <c r="H65" s="58"/>
      <c r="I65" s="18"/>
      <c r="J65" s="18"/>
      <c r="K65" s="18"/>
      <c r="L65" s="19"/>
      <c r="M65" s="59"/>
      <c r="N65" s="18"/>
      <c r="O65" s="18"/>
      <c r="P65" s="25"/>
      <c r="Q65" s="59"/>
      <c r="R65" s="18"/>
      <c r="S65" s="18"/>
      <c r="T65" s="781"/>
      <c r="U65" s="25"/>
      <c r="V65" s="18"/>
      <c r="W65" s="60">
        <v>1500</v>
      </c>
      <c r="X65" s="18"/>
      <c r="Y65" s="25"/>
      <c r="Z65" s="58"/>
      <c r="AA65" s="18"/>
      <c r="AB65" s="18"/>
      <c r="AC65" s="25"/>
      <c r="AD65" s="61"/>
      <c r="AG65" s="762">
        <v>4</v>
      </c>
    </row>
    <row r="66" spans="1:33" ht="24" hidden="1" customHeight="1" thickBot="1">
      <c r="A66" s="763"/>
      <c r="B66" s="763"/>
      <c r="C66" s="777"/>
      <c r="D66" s="765"/>
      <c r="E66" s="765"/>
      <c r="F66" s="768"/>
      <c r="G66" s="40" t="s">
        <v>68</v>
      </c>
      <c r="H66" s="62"/>
      <c r="I66" s="42"/>
      <c r="J66" s="42"/>
      <c r="K66" s="42"/>
      <c r="L66" s="43"/>
      <c r="M66" s="65"/>
      <c r="N66" s="63"/>
      <c r="O66" s="63"/>
      <c r="P66" s="68"/>
      <c r="Q66" s="65"/>
      <c r="R66" s="63"/>
      <c r="S66" s="63"/>
      <c r="T66" s="781"/>
      <c r="U66" s="68"/>
      <c r="V66" s="42"/>
      <c r="W66" s="66" t="s">
        <v>81</v>
      </c>
      <c r="X66" s="42"/>
      <c r="Y66" s="68"/>
      <c r="Z66" s="62"/>
      <c r="AA66" s="42"/>
      <c r="AB66" s="42"/>
      <c r="AC66" s="68"/>
      <c r="AD66" s="69"/>
      <c r="AG66" s="763"/>
    </row>
    <row r="67" spans="1:33" ht="24.75" hidden="1" customHeight="1" thickTop="1" thickBot="1">
      <c r="A67" s="762">
        <v>10</v>
      </c>
      <c r="B67" s="762">
        <v>7</v>
      </c>
      <c r="C67" s="777"/>
      <c r="D67" s="764" t="s">
        <v>86</v>
      </c>
      <c r="E67" s="766" t="s">
        <v>65</v>
      </c>
      <c r="F67" s="767">
        <v>1000</v>
      </c>
      <c r="G67" s="57" t="s">
        <v>66</v>
      </c>
      <c r="H67" s="58"/>
      <c r="I67" s="18"/>
      <c r="J67" s="18"/>
      <c r="K67" s="18"/>
      <c r="L67" s="19"/>
      <c r="M67" s="59"/>
      <c r="N67" s="18"/>
      <c r="O67" s="18"/>
      <c r="P67" s="25"/>
      <c r="Q67" s="59"/>
      <c r="R67" s="18"/>
      <c r="S67" s="18"/>
      <c r="T67" s="781"/>
      <c r="U67" s="25"/>
      <c r="V67" s="58"/>
      <c r="W67" s="18"/>
      <c r="X67" s="60">
        <v>1000</v>
      </c>
      <c r="Y67" s="25"/>
      <c r="Z67" s="58"/>
      <c r="AA67" s="18"/>
      <c r="AB67" s="18"/>
      <c r="AC67" s="25"/>
      <c r="AD67" s="61"/>
      <c r="AG67" s="762">
        <v>10</v>
      </c>
    </row>
    <row r="68" spans="1:33" ht="24" hidden="1" customHeight="1" thickBot="1">
      <c r="A68" s="763"/>
      <c r="B68" s="763"/>
      <c r="C68" s="777"/>
      <c r="D68" s="770"/>
      <c r="E68" s="765"/>
      <c r="F68" s="768"/>
      <c r="G68" s="40" t="s">
        <v>68</v>
      </c>
      <c r="H68" s="62"/>
      <c r="I68" s="42"/>
      <c r="J68" s="42"/>
      <c r="K68" s="42"/>
      <c r="L68" s="43"/>
      <c r="M68" s="65"/>
      <c r="N68" s="63"/>
      <c r="O68" s="63"/>
      <c r="P68" s="68"/>
      <c r="Q68" s="65"/>
      <c r="R68" s="63"/>
      <c r="S68" s="63"/>
      <c r="T68" s="781"/>
      <c r="U68" s="68"/>
      <c r="V68" s="62"/>
      <c r="W68" s="42"/>
      <c r="X68" s="66" t="s">
        <v>87</v>
      </c>
      <c r="Y68" s="68"/>
      <c r="Z68" s="62"/>
      <c r="AA68" s="42"/>
      <c r="AB68" s="42"/>
      <c r="AC68" s="68"/>
      <c r="AD68" s="69"/>
      <c r="AG68" s="763"/>
    </row>
    <row r="69" spans="1:33" ht="24.75" hidden="1" customHeight="1" thickTop="1" thickBot="1">
      <c r="A69" s="762">
        <v>11</v>
      </c>
      <c r="B69" s="762">
        <v>8</v>
      </c>
      <c r="C69" s="777"/>
      <c r="D69" s="764" t="s">
        <v>88</v>
      </c>
      <c r="E69" s="766" t="s">
        <v>73</v>
      </c>
      <c r="F69" s="767">
        <v>2000</v>
      </c>
      <c r="G69" s="57" t="s">
        <v>66</v>
      </c>
      <c r="H69" s="58"/>
      <c r="I69" s="18"/>
      <c r="J69" s="18"/>
      <c r="K69" s="18"/>
      <c r="L69" s="19"/>
      <c r="M69" s="59"/>
      <c r="N69" s="18"/>
      <c r="O69" s="18"/>
      <c r="P69" s="25"/>
      <c r="Q69" s="59"/>
      <c r="R69" s="18"/>
      <c r="S69" s="18"/>
      <c r="T69" s="781"/>
      <c r="U69" s="25"/>
      <c r="V69" s="58"/>
      <c r="W69" s="18"/>
      <c r="X69" s="18"/>
      <c r="Y69" s="72">
        <v>2000</v>
      </c>
      <c r="Z69" s="58"/>
      <c r="AA69" s="18"/>
      <c r="AB69" s="18"/>
      <c r="AC69" s="25"/>
      <c r="AD69" s="61"/>
      <c r="AG69" s="762">
        <v>11</v>
      </c>
    </row>
    <row r="70" spans="1:33" ht="24" hidden="1" customHeight="1" thickBot="1">
      <c r="A70" s="769"/>
      <c r="B70" s="769"/>
      <c r="C70" s="777"/>
      <c r="D70" s="766"/>
      <c r="E70" s="765"/>
      <c r="F70" s="768"/>
      <c r="G70" s="40" t="s">
        <v>68</v>
      </c>
      <c r="H70" s="62"/>
      <c r="I70" s="42"/>
      <c r="J70" s="42"/>
      <c r="K70" s="42"/>
      <c r="L70" s="43"/>
      <c r="M70" s="65"/>
      <c r="N70" s="63"/>
      <c r="O70" s="63"/>
      <c r="P70" s="68"/>
      <c r="Q70" s="65"/>
      <c r="R70" s="63"/>
      <c r="S70" s="63"/>
      <c r="T70" s="781"/>
      <c r="U70" s="68"/>
      <c r="V70" s="62"/>
      <c r="W70" s="42"/>
      <c r="X70" s="42"/>
      <c r="Y70" s="67" t="s">
        <v>89</v>
      </c>
      <c r="Z70" s="62"/>
      <c r="AA70" s="42"/>
      <c r="AB70" s="42"/>
      <c r="AC70" s="68"/>
      <c r="AD70" s="69"/>
      <c r="AG70" s="763"/>
    </row>
    <row r="71" spans="1:33" ht="24.75" hidden="1" thickTop="1" thickBot="1">
      <c r="A71" s="769"/>
      <c r="B71" s="769"/>
      <c r="C71" s="777"/>
      <c r="D71" s="766"/>
      <c r="E71" s="771" t="s">
        <v>90</v>
      </c>
      <c r="F71" s="767">
        <v>5</v>
      </c>
      <c r="G71" s="57" t="s">
        <v>66</v>
      </c>
      <c r="H71" s="58"/>
      <c r="I71" s="18"/>
      <c r="J71" s="18"/>
      <c r="K71" s="18"/>
      <c r="L71" s="19"/>
      <c r="M71" s="59"/>
      <c r="N71" s="18"/>
      <c r="O71" s="18"/>
      <c r="P71" s="25"/>
      <c r="Q71" s="70">
        <v>5</v>
      </c>
      <c r="R71" s="18"/>
      <c r="S71" s="18"/>
      <c r="T71" s="781"/>
      <c r="U71" s="25"/>
      <c r="V71" s="58"/>
      <c r="W71" s="18"/>
      <c r="X71" s="18"/>
      <c r="Y71" s="25"/>
      <c r="Z71" s="58"/>
      <c r="AA71" s="18"/>
      <c r="AB71" s="18"/>
      <c r="AC71" s="25"/>
      <c r="AD71" s="61"/>
      <c r="AG71" s="78"/>
    </row>
    <row r="72" spans="1:33" ht="24" hidden="1" thickBot="1">
      <c r="A72" s="763"/>
      <c r="B72" s="763"/>
      <c r="C72" s="777"/>
      <c r="D72" s="770"/>
      <c r="E72" s="765"/>
      <c r="F72" s="768"/>
      <c r="G72" s="40" t="s">
        <v>68</v>
      </c>
      <c r="H72" s="62"/>
      <c r="I72" s="42"/>
      <c r="J72" s="42"/>
      <c r="K72" s="42"/>
      <c r="L72" s="43"/>
      <c r="M72" s="65"/>
      <c r="N72" s="63"/>
      <c r="O72" s="63"/>
      <c r="P72" s="68"/>
      <c r="Q72" s="73" t="s">
        <v>79</v>
      </c>
      <c r="R72" s="63"/>
      <c r="S72" s="63"/>
      <c r="T72" s="781"/>
      <c r="U72" s="68"/>
      <c r="V72" s="62"/>
      <c r="W72" s="42"/>
      <c r="X72" s="42"/>
      <c r="Y72" s="68"/>
      <c r="Z72" s="62"/>
      <c r="AA72" s="42"/>
      <c r="AB72" s="42"/>
      <c r="AC72" s="68"/>
      <c r="AD72" s="69"/>
      <c r="AG72" s="80"/>
    </row>
    <row r="73" spans="1:33" ht="24.75" hidden="1" customHeight="1" thickTop="1" thickBot="1">
      <c r="A73" s="762">
        <v>12</v>
      </c>
      <c r="B73" s="762">
        <v>9</v>
      </c>
      <c r="C73" s="777"/>
      <c r="D73" s="764" t="s">
        <v>91</v>
      </c>
      <c r="E73" s="766" t="s">
        <v>65</v>
      </c>
      <c r="F73" s="767">
        <v>2000</v>
      </c>
      <c r="G73" s="57" t="s">
        <v>66</v>
      </c>
      <c r="H73" s="58"/>
      <c r="I73" s="18"/>
      <c r="J73" s="18"/>
      <c r="K73" s="18"/>
      <c r="L73" s="19"/>
      <c r="M73" s="59"/>
      <c r="N73" s="18"/>
      <c r="O73" s="18"/>
      <c r="P73" s="25"/>
      <c r="Q73" s="59"/>
      <c r="R73" s="18"/>
      <c r="S73" s="18"/>
      <c r="T73" s="781"/>
      <c r="U73" s="25"/>
      <c r="V73" s="58"/>
      <c r="W73" s="18"/>
      <c r="X73" s="18"/>
      <c r="Y73" s="25"/>
      <c r="Z73" s="70">
        <v>2000</v>
      </c>
      <c r="AA73" s="18"/>
      <c r="AB73" s="18"/>
      <c r="AC73" s="25"/>
      <c r="AD73" s="61"/>
      <c r="AG73" s="762">
        <v>12</v>
      </c>
    </row>
    <row r="74" spans="1:33" ht="24" hidden="1" customHeight="1" thickBot="1">
      <c r="A74" s="763"/>
      <c r="B74" s="763"/>
      <c r="C74" s="777"/>
      <c r="D74" s="765"/>
      <c r="E74" s="765"/>
      <c r="F74" s="768"/>
      <c r="G74" s="40" t="s">
        <v>68</v>
      </c>
      <c r="H74" s="62"/>
      <c r="I74" s="42"/>
      <c r="J74" s="42"/>
      <c r="K74" s="42"/>
      <c r="L74" s="43"/>
      <c r="M74" s="65"/>
      <c r="N74" s="63"/>
      <c r="O74" s="63"/>
      <c r="P74" s="68"/>
      <c r="Q74" s="65"/>
      <c r="R74" s="63"/>
      <c r="S74" s="63"/>
      <c r="T74" s="781"/>
      <c r="U74" s="68"/>
      <c r="V74" s="62"/>
      <c r="W74" s="42"/>
      <c r="X74" s="42"/>
      <c r="Y74" s="68"/>
      <c r="Z74" s="77" t="s">
        <v>79</v>
      </c>
      <c r="AA74" s="42"/>
      <c r="AB74" s="42"/>
      <c r="AC74" s="68"/>
      <c r="AD74" s="69"/>
      <c r="AG74" s="763"/>
    </row>
    <row r="75" spans="1:33" ht="24.75" hidden="1" customHeight="1" thickTop="1" thickBot="1">
      <c r="A75" s="762">
        <v>13</v>
      </c>
      <c r="B75" s="762">
        <v>10</v>
      </c>
      <c r="C75" s="777"/>
      <c r="D75" s="764" t="s">
        <v>92</v>
      </c>
      <c r="E75" s="766" t="s">
        <v>65</v>
      </c>
      <c r="F75" s="767">
        <v>1000</v>
      </c>
      <c r="G75" s="57" t="s">
        <v>66</v>
      </c>
      <c r="H75" s="58"/>
      <c r="I75" s="18"/>
      <c r="J75" s="18"/>
      <c r="K75" s="18"/>
      <c r="L75" s="19"/>
      <c r="M75" s="59"/>
      <c r="N75" s="18"/>
      <c r="O75" s="18"/>
      <c r="P75" s="25"/>
      <c r="Q75" s="59"/>
      <c r="R75" s="18"/>
      <c r="S75" s="18"/>
      <c r="T75" s="781"/>
      <c r="U75" s="25"/>
      <c r="V75" s="58"/>
      <c r="W75" s="18"/>
      <c r="X75" s="18"/>
      <c r="Y75" s="25"/>
      <c r="Z75" s="58"/>
      <c r="AA75" s="60">
        <v>1000</v>
      </c>
      <c r="AB75" s="18"/>
      <c r="AC75" s="25"/>
      <c r="AD75" s="61"/>
      <c r="AG75" s="762">
        <v>13</v>
      </c>
    </row>
    <row r="76" spans="1:33" ht="24" hidden="1" customHeight="1" thickBot="1">
      <c r="A76" s="763"/>
      <c r="B76" s="763"/>
      <c r="C76" s="778"/>
      <c r="D76" s="765"/>
      <c r="E76" s="765"/>
      <c r="F76" s="768"/>
      <c r="G76" s="40" t="s">
        <v>68</v>
      </c>
      <c r="H76" s="62"/>
      <c r="I76" s="81"/>
      <c r="J76" s="81"/>
      <c r="K76" s="81"/>
      <c r="L76" s="82"/>
      <c r="M76" s="62"/>
      <c r="N76" s="83"/>
      <c r="O76" s="83"/>
      <c r="P76" s="84"/>
      <c r="Q76" s="62"/>
      <c r="R76" s="83"/>
      <c r="S76" s="83"/>
      <c r="T76" s="782"/>
      <c r="U76" s="84"/>
      <c r="V76" s="62"/>
      <c r="W76" s="81"/>
      <c r="X76" s="42"/>
      <c r="Y76" s="68"/>
      <c r="Z76" s="62"/>
      <c r="AA76" s="66" t="s">
        <v>81</v>
      </c>
      <c r="AB76" s="81"/>
      <c r="AC76" s="68"/>
      <c r="AD76" s="69"/>
      <c r="AG76" s="763"/>
    </row>
    <row r="77" spans="1:33" ht="21" hidden="1" thickBot="1"/>
    <row r="78" spans="1:33" ht="21" hidden="1" thickBot="1">
      <c r="B78" t="s">
        <v>108</v>
      </c>
    </row>
    <row r="79" spans="1:33" ht="21" hidden="1" thickBot="1"/>
    <row r="80" spans="1:33" ht="24" hidden="1" thickBot="1">
      <c r="B80" s="783" t="s">
        <v>3</v>
      </c>
      <c r="C80" s="785" t="s">
        <v>188</v>
      </c>
      <c r="D80" s="785" t="s">
        <v>35</v>
      </c>
      <c r="E80" s="785" t="s">
        <v>4</v>
      </c>
      <c r="F80" s="785" t="s">
        <v>36</v>
      </c>
      <c r="G80" s="48" t="s">
        <v>37</v>
      </c>
      <c r="H80" s="772">
        <v>46023</v>
      </c>
      <c r="I80" s="773"/>
      <c r="J80" s="773"/>
      <c r="K80" s="773"/>
      <c r="L80" s="773"/>
      <c r="M80" s="772" t="s">
        <v>38</v>
      </c>
      <c r="N80" s="773"/>
      <c r="O80" s="773"/>
      <c r="P80" s="774"/>
      <c r="Q80" s="772" t="s">
        <v>39</v>
      </c>
      <c r="R80" s="773"/>
      <c r="S80" s="773"/>
      <c r="T80" s="773"/>
      <c r="U80" s="774"/>
      <c r="V80" s="772">
        <v>46113</v>
      </c>
      <c r="W80" s="773"/>
      <c r="X80" s="773"/>
      <c r="Y80" s="774"/>
      <c r="Z80" s="772">
        <v>46113</v>
      </c>
      <c r="AA80" s="773"/>
      <c r="AB80" s="773"/>
      <c r="AC80" s="774"/>
    </row>
    <row r="81" spans="2:32" ht="24" hidden="1" thickBot="1">
      <c r="B81" s="784"/>
      <c r="C81" s="786"/>
      <c r="D81" s="786"/>
      <c r="E81" s="786"/>
      <c r="F81" s="786"/>
      <c r="G81" s="50" t="s">
        <v>40</v>
      </c>
      <c r="H81" s="51" t="s">
        <v>41</v>
      </c>
      <c r="I81" s="11" t="s">
        <v>42</v>
      </c>
      <c r="J81" s="52" t="s">
        <v>43</v>
      </c>
      <c r="K81" s="11" t="s">
        <v>44</v>
      </c>
      <c r="L81" s="53" t="s">
        <v>45</v>
      </c>
      <c r="M81" s="54" t="s">
        <v>46</v>
      </c>
      <c r="N81" s="10" t="s">
        <v>47</v>
      </c>
      <c r="O81" s="11" t="s">
        <v>48</v>
      </c>
      <c r="P81" s="55" t="s">
        <v>49</v>
      </c>
      <c r="Q81" s="54" t="s">
        <v>50</v>
      </c>
      <c r="R81" s="10" t="s">
        <v>51</v>
      </c>
      <c r="S81" s="10" t="s">
        <v>52</v>
      </c>
      <c r="T81" s="56" t="s">
        <v>53</v>
      </c>
      <c r="U81" s="11" t="s">
        <v>54</v>
      </c>
      <c r="V81" s="51" t="s">
        <v>55</v>
      </c>
      <c r="W81" s="11" t="s">
        <v>56</v>
      </c>
      <c r="X81" s="10" t="s">
        <v>57</v>
      </c>
      <c r="Y81" s="13" t="s">
        <v>58</v>
      </c>
      <c r="Z81" s="51" t="s">
        <v>55</v>
      </c>
      <c r="AA81" s="11" t="s">
        <v>56</v>
      </c>
      <c r="AB81" s="10" t="s">
        <v>57</v>
      </c>
      <c r="AC81" s="13" t="s">
        <v>58</v>
      </c>
      <c r="AE81" s="118" t="s">
        <v>109</v>
      </c>
      <c r="AF81" s="118"/>
    </row>
    <row r="82" spans="2:32" ht="24.75" hidden="1" thickTop="1" thickBot="1">
      <c r="B82" s="775">
        <v>1</v>
      </c>
      <c r="C82" s="776" t="s">
        <v>63</v>
      </c>
      <c r="D82" s="764" t="s">
        <v>64</v>
      </c>
      <c r="E82" s="764" t="s">
        <v>65</v>
      </c>
      <c r="F82" s="779">
        <v>1000</v>
      </c>
      <c r="G82" s="57" t="s">
        <v>66</v>
      </c>
      <c r="H82" s="58"/>
      <c r="I82" s="18"/>
      <c r="J82" s="18"/>
      <c r="K82" s="18"/>
      <c r="L82" s="19"/>
      <c r="M82" s="59"/>
      <c r="N82" s="60">
        <v>1000</v>
      </c>
      <c r="O82" s="18"/>
      <c r="P82" s="25"/>
      <c r="Q82" s="59"/>
      <c r="R82" s="18"/>
      <c r="S82" s="18"/>
      <c r="T82" s="780" t="s">
        <v>67</v>
      </c>
      <c r="U82" s="25"/>
      <c r="V82" s="58"/>
      <c r="W82" s="18"/>
      <c r="X82" s="18"/>
      <c r="Y82" s="25"/>
      <c r="Z82" s="58"/>
      <c r="AA82" s="18"/>
      <c r="AB82" s="18"/>
      <c r="AC82" s="25"/>
    </row>
    <row r="83" spans="2:32" ht="24" hidden="1" thickBot="1">
      <c r="B83" s="763"/>
      <c r="C83" s="777"/>
      <c r="D83" s="770"/>
      <c r="E83" s="765"/>
      <c r="F83" s="768"/>
      <c r="G83" s="40" t="s">
        <v>68</v>
      </c>
      <c r="H83" s="62"/>
      <c r="I83" s="63"/>
      <c r="J83" s="63"/>
      <c r="K83" s="63"/>
      <c r="L83" s="64"/>
      <c r="M83" s="65"/>
      <c r="N83" s="76" t="s">
        <v>81</v>
      </c>
      <c r="O83" s="63"/>
      <c r="P83" s="68"/>
      <c r="Q83" s="65"/>
      <c r="R83" s="63"/>
      <c r="S83" s="63"/>
      <c r="T83" s="781"/>
      <c r="U83" s="68"/>
      <c r="V83" s="62"/>
      <c r="W83" s="63"/>
      <c r="X83" s="63"/>
      <c r="Y83" s="68"/>
      <c r="Z83" s="62"/>
      <c r="AA83" s="63"/>
      <c r="AB83" s="63"/>
      <c r="AC83" s="68"/>
    </row>
    <row r="84" spans="2:32" ht="24.75" hidden="1" thickTop="1" thickBot="1">
      <c r="B84" s="762">
        <v>2</v>
      </c>
      <c r="C84" s="777"/>
      <c r="D84" s="764" t="s">
        <v>72</v>
      </c>
      <c r="E84" s="766" t="s">
        <v>73</v>
      </c>
      <c r="F84" s="767">
        <v>1000</v>
      </c>
      <c r="G84" s="57" t="s">
        <v>66</v>
      </c>
      <c r="H84" s="58"/>
      <c r="I84" s="18"/>
      <c r="J84" s="60">
        <v>30</v>
      </c>
      <c r="K84" s="60">
        <v>90</v>
      </c>
      <c r="L84" s="19"/>
      <c r="M84" s="70">
        <v>420</v>
      </c>
      <c r="N84" s="60">
        <v>460</v>
      </c>
      <c r="O84" s="18"/>
      <c r="P84" s="25"/>
      <c r="Q84" s="59"/>
      <c r="R84" s="18"/>
      <c r="S84" s="18"/>
      <c r="T84" s="781"/>
      <c r="U84" s="25"/>
      <c r="V84" s="58"/>
      <c r="W84" s="18"/>
      <c r="X84" s="18"/>
      <c r="Y84" s="25"/>
      <c r="Z84" s="58"/>
      <c r="AA84" s="18"/>
      <c r="AB84" s="18"/>
      <c r="AC84" s="25"/>
    </row>
    <row r="85" spans="2:32" ht="24" hidden="1" thickBot="1">
      <c r="B85" s="763"/>
      <c r="C85" s="777"/>
      <c r="D85" s="765"/>
      <c r="E85" s="765"/>
      <c r="F85" s="768"/>
      <c r="G85" s="40" t="s">
        <v>68</v>
      </c>
      <c r="H85" s="62"/>
      <c r="I85" s="42"/>
      <c r="J85" s="66" t="s">
        <v>74</v>
      </c>
      <c r="K85" s="66" t="s">
        <v>75</v>
      </c>
      <c r="L85" s="43"/>
      <c r="M85" s="77" t="s">
        <v>79</v>
      </c>
      <c r="N85" s="76" t="s">
        <v>81</v>
      </c>
      <c r="O85" s="63"/>
      <c r="P85" s="68"/>
      <c r="Q85" s="65"/>
      <c r="R85" s="63"/>
      <c r="S85" s="63"/>
      <c r="T85" s="781"/>
      <c r="U85" s="68"/>
      <c r="V85" s="62"/>
      <c r="W85" s="42"/>
      <c r="X85" s="42"/>
      <c r="Y85" s="68"/>
      <c r="Z85" s="62"/>
      <c r="AA85" s="42"/>
      <c r="AB85" s="42"/>
      <c r="AC85" s="68"/>
    </row>
    <row r="86" spans="2:32" ht="24.75" hidden="1" thickTop="1" thickBot="1">
      <c r="B86" s="762">
        <v>3</v>
      </c>
      <c r="C86" s="777"/>
      <c r="D86" s="764" t="s">
        <v>78</v>
      </c>
      <c r="E86" s="766" t="s">
        <v>65</v>
      </c>
      <c r="F86" s="767">
        <v>1000</v>
      </c>
      <c r="G86" s="57" t="s">
        <v>66</v>
      </c>
      <c r="H86" s="58"/>
      <c r="I86" s="18"/>
      <c r="J86" s="18"/>
      <c r="K86" s="18"/>
      <c r="L86" s="19"/>
      <c r="M86" s="59"/>
      <c r="N86" s="18"/>
      <c r="O86" s="60">
        <v>1000</v>
      </c>
      <c r="P86" s="119"/>
      <c r="Q86" s="120"/>
      <c r="R86" s="18"/>
      <c r="S86" s="18"/>
      <c r="T86" s="781"/>
      <c r="U86" s="25"/>
      <c r="V86" s="58"/>
      <c r="W86" s="18"/>
      <c r="X86" s="18"/>
      <c r="Y86" s="25"/>
      <c r="Z86" s="58"/>
      <c r="AA86" s="18"/>
      <c r="AB86" s="18"/>
      <c r="AC86" s="25"/>
    </row>
    <row r="87" spans="2:32" ht="24" hidden="1" thickBot="1">
      <c r="B87" s="763"/>
      <c r="C87" s="777"/>
      <c r="D87" s="765"/>
      <c r="E87" s="765"/>
      <c r="F87" s="768"/>
      <c r="G87" s="40" t="s">
        <v>68</v>
      </c>
      <c r="H87" s="62"/>
      <c r="I87" s="42"/>
      <c r="J87" s="42"/>
      <c r="K87" s="42"/>
      <c r="L87" s="43"/>
      <c r="M87" s="65"/>
      <c r="N87" s="63"/>
      <c r="O87" s="76" t="s">
        <v>87</v>
      </c>
      <c r="P87" s="45"/>
      <c r="Q87" s="121"/>
      <c r="R87" s="63"/>
      <c r="S87" s="63"/>
      <c r="T87" s="781"/>
      <c r="U87" s="68"/>
      <c r="V87" s="62"/>
      <c r="W87" s="42"/>
      <c r="X87" s="42"/>
      <c r="Y87" s="68"/>
      <c r="Z87" s="62"/>
      <c r="AA87" s="42"/>
      <c r="AB87" s="42"/>
      <c r="AC87" s="68"/>
    </row>
    <row r="88" spans="2:32" ht="24.75" hidden="1" thickTop="1" thickBot="1">
      <c r="B88" s="762">
        <v>4</v>
      </c>
      <c r="C88" s="777"/>
      <c r="D88" s="764" t="s">
        <v>80</v>
      </c>
      <c r="E88" s="766" t="s">
        <v>73</v>
      </c>
      <c r="F88" s="767">
        <v>4000</v>
      </c>
      <c r="G88" s="57" t="s">
        <v>66</v>
      </c>
      <c r="H88" s="58"/>
      <c r="I88" s="18"/>
      <c r="J88" s="18"/>
      <c r="K88" s="18"/>
      <c r="L88" s="19"/>
      <c r="M88" s="59"/>
      <c r="N88" s="18"/>
      <c r="O88" s="60">
        <v>680</v>
      </c>
      <c r="P88" s="72">
        <v>1320</v>
      </c>
      <c r="Q88" s="70">
        <v>540</v>
      </c>
      <c r="R88" s="60">
        <v>1460</v>
      </c>
      <c r="S88" s="18"/>
      <c r="T88" s="781"/>
      <c r="U88" s="25"/>
      <c r="V88" s="58"/>
      <c r="W88" s="18"/>
      <c r="X88" s="18"/>
      <c r="Y88" s="25"/>
      <c r="Z88" s="58"/>
      <c r="AA88" s="18"/>
      <c r="AB88" s="18"/>
      <c r="AC88" s="25"/>
    </row>
    <row r="89" spans="2:32" ht="24" hidden="1" thickBot="1">
      <c r="B89" s="769"/>
      <c r="C89" s="777"/>
      <c r="D89" s="770"/>
      <c r="E89" s="765"/>
      <c r="F89" s="768"/>
      <c r="G89" s="40" t="s">
        <v>68</v>
      </c>
      <c r="H89" s="62"/>
      <c r="I89" s="42"/>
      <c r="J89" s="42"/>
      <c r="K89" s="42"/>
      <c r="L89" s="43"/>
      <c r="M89" s="65"/>
      <c r="N89" s="63"/>
      <c r="O89" s="76" t="s">
        <v>87</v>
      </c>
      <c r="P89" s="122" t="s">
        <v>71</v>
      </c>
      <c r="Q89" s="73" t="s">
        <v>79</v>
      </c>
      <c r="R89" s="76" t="s">
        <v>81</v>
      </c>
      <c r="S89" s="63"/>
      <c r="T89" s="781"/>
      <c r="U89" s="68"/>
      <c r="V89" s="62"/>
      <c r="W89" s="42"/>
      <c r="X89" s="42"/>
      <c r="Y89" s="68"/>
      <c r="Z89" s="62"/>
      <c r="AA89" s="42"/>
      <c r="AB89" s="42"/>
      <c r="AC89" s="68"/>
    </row>
    <row r="90" spans="2:32" ht="24.75" hidden="1" thickTop="1" thickBot="1">
      <c r="B90" s="762">
        <v>5</v>
      </c>
      <c r="C90" s="777"/>
      <c r="D90" s="764" t="s">
        <v>83</v>
      </c>
      <c r="E90" s="766" t="s">
        <v>65</v>
      </c>
      <c r="F90" s="767">
        <v>1000</v>
      </c>
      <c r="G90" s="57" t="s">
        <v>66</v>
      </c>
      <c r="H90" s="58"/>
      <c r="I90" s="18"/>
      <c r="J90" s="18"/>
      <c r="K90" s="18"/>
      <c r="L90" s="19"/>
      <c r="M90" s="59"/>
      <c r="N90" s="18"/>
      <c r="O90" s="18"/>
      <c r="P90" s="72">
        <v>180</v>
      </c>
      <c r="Q90" s="123">
        <v>820</v>
      </c>
      <c r="R90" s="18"/>
      <c r="S90" s="124"/>
      <c r="T90" s="781"/>
      <c r="U90" s="25"/>
      <c r="V90" s="58"/>
      <c r="W90" s="18"/>
      <c r="X90" s="18"/>
      <c r="Y90" s="25"/>
      <c r="Z90" s="58"/>
      <c r="AA90" s="18"/>
      <c r="AB90" s="18"/>
      <c r="AC90" s="25"/>
    </row>
    <row r="91" spans="2:32" ht="24" hidden="1" thickBot="1">
      <c r="B91" s="763"/>
      <c r="C91" s="777"/>
      <c r="D91" s="765"/>
      <c r="E91" s="765"/>
      <c r="F91" s="768"/>
      <c r="G91" s="40" t="s">
        <v>68</v>
      </c>
      <c r="H91" s="62"/>
      <c r="I91" s="42"/>
      <c r="J91" s="42"/>
      <c r="K91" s="42"/>
      <c r="L91" s="43"/>
      <c r="M91" s="65"/>
      <c r="N91" s="63"/>
      <c r="O91" s="63"/>
      <c r="P91" s="122" t="s">
        <v>71</v>
      </c>
      <c r="Q91" s="73" t="s">
        <v>79</v>
      </c>
      <c r="R91" s="63"/>
      <c r="S91" s="63"/>
      <c r="T91" s="781"/>
      <c r="U91" s="68"/>
      <c r="V91" s="62"/>
      <c r="W91" s="42"/>
      <c r="X91" s="42"/>
      <c r="Y91" s="68"/>
      <c r="Z91" s="62"/>
      <c r="AA91" s="42"/>
      <c r="AB91" s="42"/>
      <c r="AC91" s="68"/>
    </row>
    <row r="92" spans="2:32" ht="24.75" hidden="1" thickTop="1" thickBot="1">
      <c r="B92" s="762">
        <v>6</v>
      </c>
      <c r="C92" s="777"/>
      <c r="D92" s="764" t="s">
        <v>84</v>
      </c>
      <c r="E92" s="766" t="s">
        <v>85</v>
      </c>
      <c r="F92" s="767">
        <v>1500</v>
      </c>
      <c r="G92" s="57" t="s">
        <v>66</v>
      </c>
      <c r="H92" s="58"/>
      <c r="I92" s="18"/>
      <c r="J92" s="18"/>
      <c r="K92" s="18"/>
      <c r="L92" s="19"/>
      <c r="M92" s="59"/>
      <c r="N92" s="18"/>
      <c r="O92" s="18"/>
      <c r="P92" s="25"/>
      <c r="Q92" s="59"/>
      <c r="R92" s="18"/>
      <c r="S92" s="60">
        <v>720</v>
      </c>
      <c r="T92" s="781"/>
      <c r="U92" s="72">
        <v>780</v>
      </c>
      <c r="V92" s="59"/>
      <c r="W92" s="18"/>
      <c r="X92" s="18"/>
      <c r="Y92" s="25"/>
      <c r="Z92" s="59"/>
      <c r="AA92" s="18"/>
      <c r="AB92" s="18"/>
      <c r="AC92" s="25"/>
    </row>
    <row r="93" spans="2:32" ht="24" hidden="1" thickBot="1">
      <c r="B93" s="763"/>
      <c r="C93" s="777"/>
      <c r="D93" s="765"/>
      <c r="E93" s="765"/>
      <c r="F93" s="768"/>
      <c r="G93" s="40" t="s">
        <v>68</v>
      </c>
      <c r="H93" s="62"/>
      <c r="I93" s="42"/>
      <c r="J93" s="42"/>
      <c r="K93" s="42"/>
      <c r="L93" s="43"/>
      <c r="M93" s="65"/>
      <c r="N93" s="63"/>
      <c r="O93" s="63"/>
      <c r="P93" s="68"/>
      <c r="Q93" s="65"/>
      <c r="R93" s="63"/>
      <c r="S93" s="76" t="s">
        <v>87</v>
      </c>
      <c r="T93" s="781"/>
      <c r="U93" s="67" t="s">
        <v>82</v>
      </c>
      <c r="V93" s="65"/>
      <c r="W93" s="42"/>
      <c r="X93" s="42"/>
      <c r="Y93" s="68"/>
      <c r="Z93" s="65"/>
      <c r="AA93" s="42"/>
      <c r="AB93" s="42"/>
      <c r="AC93" s="68"/>
    </row>
    <row r="94" spans="2:32" ht="24.75" hidden="1" thickTop="1" thickBot="1">
      <c r="B94" s="762">
        <v>7</v>
      </c>
      <c r="C94" s="777"/>
      <c r="D94" s="764" t="s">
        <v>86</v>
      </c>
      <c r="E94" s="766" t="s">
        <v>65</v>
      </c>
      <c r="F94" s="767">
        <v>1000</v>
      </c>
      <c r="G94" s="57" t="s">
        <v>66</v>
      </c>
      <c r="H94" s="58"/>
      <c r="I94" s="18"/>
      <c r="J94" s="18"/>
      <c r="K94" s="18"/>
      <c r="L94" s="19"/>
      <c r="M94" s="59"/>
      <c r="N94" s="18"/>
      <c r="O94" s="18"/>
      <c r="P94" s="25"/>
      <c r="Q94" s="59"/>
      <c r="R94" s="18"/>
      <c r="S94" s="18"/>
      <c r="T94" s="781"/>
      <c r="U94" s="25"/>
      <c r="V94" s="70">
        <v>500</v>
      </c>
      <c r="W94" s="60">
        <v>500</v>
      </c>
      <c r="X94" s="18"/>
      <c r="Y94" s="25"/>
      <c r="Z94" s="70">
        <v>500</v>
      </c>
      <c r="AA94" s="60">
        <v>500</v>
      </c>
      <c r="AB94" s="18"/>
      <c r="AC94" s="25"/>
    </row>
    <row r="95" spans="2:32" ht="24" hidden="1" thickBot="1">
      <c r="B95" s="763"/>
      <c r="C95" s="777"/>
      <c r="D95" s="770"/>
      <c r="E95" s="765"/>
      <c r="F95" s="768"/>
      <c r="G95" s="40" t="s">
        <v>68</v>
      </c>
      <c r="H95" s="62"/>
      <c r="I95" s="42"/>
      <c r="J95" s="42"/>
      <c r="K95" s="42"/>
      <c r="L95" s="43"/>
      <c r="M95" s="65"/>
      <c r="N95" s="63"/>
      <c r="O95" s="63"/>
      <c r="P95" s="68"/>
      <c r="Q95" s="65"/>
      <c r="R95" s="63"/>
      <c r="S95" s="63"/>
      <c r="T95" s="781"/>
      <c r="U95" s="68"/>
      <c r="V95" s="77" t="s">
        <v>79</v>
      </c>
      <c r="W95" s="66" t="s">
        <v>81</v>
      </c>
      <c r="X95" s="42"/>
      <c r="Y95" s="68"/>
      <c r="Z95" s="77" t="s">
        <v>79</v>
      </c>
      <c r="AA95" s="66" t="s">
        <v>81</v>
      </c>
      <c r="AB95" s="42"/>
      <c r="AC95" s="68"/>
    </row>
    <row r="96" spans="2:32" ht="24.75" hidden="1" thickTop="1" thickBot="1">
      <c r="B96" s="762">
        <v>8</v>
      </c>
      <c r="C96" s="777"/>
      <c r="D96" s="764" t="s">
        <v>88</v>
      </c>
      <c r="E96" s="766" t="s">
        <v>73</v>
      </c>
      <c r="F96" s="767">
        <v>2000</v>
      </c>
      <c r="G96" s="57" t="s">
        <v>66</v>
      </c>
      <c r="H96" s="58"/>
      <c r="I96" s="18"/>
      <c r="J96" s="18"/>
      <c r="K96" s="18"/>
      <c r="L96" s="19"/>
      <c r="M96" s="59"/>
      <c r="N96" s="18"/>
      <c r="O96" s="18"/>
      <c r="P96" s="25"/>
      <c r="Q96" s="59"/>
      <c r="R96" s="18"/>
      <c r="S96" s="18"/>
      <c r="T96" s="781"/>
      <c r="U96" s="25"/>
      <c r="V96" s="58"/>
      <c r="W96" s="60">
        <v>1000</v>
      </c>
      <c r="X96" s="60">
        <v>1000</v>
      </c>
      <c r="Y96" s="25"/>
      <c r="Z96" s="58"/>
      <c r="AA96" s="60">
        <v>1000</v>
      </c>
      <c r="AB96" s="60">
        <v>1000</v>
      </c>
      <c r="AC96" s="25"/>
    </row>
    <row r="97" spans="2:33" ht="24" hidden="1" thickBot="1">
      <c r="B97" s="769"/>
      <c r="C97" s="777"/>
      <c r="D97" s="766"/>
      <c r="E97" s="765"/>
      <c r="F97" s="768"/>
      <c r="G97" s="40" t="s">
        <v>68</v>
      </c>
      <c r="H97" s="62"/>
      <c r="I97" s="42"/>
      <c r="J97" s="42"/>
      <c r="K97" s="42"/>
      <c r="L97" s="43"/>
      <c r="M97" s="65"/>
      <c r="N97" s="63"/>
      <c r="O97" s="63"/>
      <c r="P97" s="68"/>
      <c r="Q97" s="65"/>
      <c r="R97" s="63"/>
      <c r="S97" s="63"/>
      <c r="T97" s="781"/>
      <c r="U97" s="68"/>
      <c r="V97" s="62"/>
      <c r="W97" s="66" t="s">
        <v>81</v>
      </c>
      <c r="X97" s="66" t="s">
        <v>87</v>
      </c>
      <c r="Y97" s="68"/>
      <c r="Z97" s="62"/>
      <c r="AA97" s="66" t="s">
        <v>81</v>
      </c>
      <c r="AB97" s="66" t="s">
        <v>87</v>
      </c>
      <c r="AC97" s="68"/>
    </row>
    <row r="98" spans="2:33" ht="24.75" hidden="1" thickTop="1" thickBot="1">
      <c r="B98" s="769"/>
      <c r="C98" s="777"/>
      <c r="D98" s="766"/>
      <c r="E98" s="771" t="s">
        <v>90</v>
      </c>
      <c r="F98" s="767">
        <v>5</v>
      </c>
      <c r="G98" s="57" t="s">
        <v>66</v>
      </c>
      <c r="H98" s="58"/>
      <c r="I98" s="18"/>
      <c r="J98" s="18"/>
      <c r="K98" s="18"/>
      <c r="L98" s="19"/>
      <c r="M98" s="59"/>
      <c r="N98" s="18"/>
      <c r="O98" s="60">
        <v>5</v>
      </c>
      <c r="P98" s="25"/>
      <c r="Q98" s="59"/>
      <c r="R98" s="18"/>
      <c r="S98" s="18"/>
      <c r="T98" s="781"/>
      <c r="U98" s="25"/>
      <c r="V98" s="58"/>
      <c r="W98" s="18"/>
      <c r="X98" s="18"/>
      <c r="Y98" s="25"/>
      <c r="Z98" s="58"/>
      <c r="AA98" s="18"/>
      <c r="AB98" s="18"/>
      <c r="AC98" s="25"/>
    </row>
    <row r="99" spans="2:33" ht="24" hidden="1" thickBot="1">
      <c r="B99" s="763"/>
      <c r="C99" s="777"/>
      <c r="D99" s="770"/>
      <c r="E99" s="765"/>
      <c r="F99" s="768"/>
      <c r="G99" s="40" t="s">
        <v>68</v>
      </c>
      <c r="H99" s="62"/>
      <c r="I99" s="42"/>
      <c r="J99" s="42"/>
      <c r="K99" s="42"/>
      <c r="L99" s="43"/>
      <c r="M99" s="65"/>
      <c r="N99" s="63"/>
      <c r="O99" s="76" t="s">
        <v>87</v>
      </c>
      <c r="P99" s="68"/>
      <c r="Q99" s="75"/>
      <c r="R99" s="63"/>
      <c r="S99" s="63"/>
      <c r="T99" s="781"/>
      <c r="U99" s="68"/>
      <c r="V99" s="62"/>
      <c r="W99" s="42"/>
      <c r="X99" s="42"/>
      <c r="Y99" s="68"/>
      <c r="Z99" s="62"/>
      <c r="AA99" s="42"/>
      <c r="AB99" s="42"/>
      <c r="AC99" s="68"/>
    </row>
    <row r="100" spans="2:33" ht="24.75" hidden="1" thickTop="1" thickBot="1">
      <c r="B100" s="762">
        <v>9</v>
      </c>
      <c r="C100" s="777"/>
      <c r="D100" s="764" t="s">
        <v>91</v>
      </c>
      <c r="E100" s="766" t="s">
        <v>65</v>
      </c>
      <c r="F100" s="767">
        <v>2000</v>
      </c>
      <c r="G100" s="57" t="s">
        <v>66</v>
      </c>
      <c r="H100" s="58"/>
      <c r="I100" s="18"/>
      <c r="J100" s="18"/>
      <c r="K100" s="18"/>
      <c r="L100" s="19"/>
      <c r="M100" s="59"/>
      <c r="N100" s="18"/>
      <c r="O100" s="18"/>
      <c r="P100" s="25"/>
      <c r="Q100" s="59"/>
      <c r="R100" s="18"/>
      <c r="S100" s="18"/>
      <c r="T100" s="781"/>
      <c r="U100" s="25"/>
      <c r="V100" s="58"/>
      <c r="W100" s="18"/>
      <c r="X100" s="60">
        <v>1000</v>
      </c>
      <c r="Y100" s="72">
        <v>1000</v>
      </c>
      <c r="Z100" s="58"/>
      <c r="AA100" s="18"/>
      <c r="AB100" s="60">
        <v>1000</v>
      </c>
      <c r="AC100" s="72">
        <v>1000</v>
      </c>
    </row>
    <row r="101" spans="2:33" ht="24" hidden="1" thickBot="1">
      <c r="B101" s="763"/>
      <c r="C101" s="777"/>
      <c r="D101" s="765"/>
      <c r="E101" s="765"/>
      <c r="F101" s="768"/>
      <c r="G101" s="40" t="s">
        <v>68</v>
      </c>
      <c r="H101" s="62"/>
      <c r="I101" s="42"/>
      <c r="J101" s="42"/>
      <c r="K101" s="42"/>
      <c r="L101" s="43"/>
      <c r="M101" s="65"/>
      <c r="N101" s="63"/>
      <c r="O101" s="63"/>
      <c r="P101" s="68"/>
      <c r="Q101" s="65"/>
      <c r="R101" s="63"/>
      <c r="S101" s="63"/>
      <c r="T101" s="781"/>
      <c r="U101" s="68"/>
      <c r="V101" s="62"/>
      <c r="W101" s="42"/>
      <c r="X101" s="66" t="s">
        <v>87</v>
      </c>
      <c r="Y101" s="67" t="s">
        <v>89</v>
      </c>
      <c r="Z101" s="62"/>
      <c r="AA101" s="42"/>
      <c r="AB101" s="66" t="s">
        <v>87</v>
      </c>
      <c r="AC101" s="67" t="s">
        <v>89</v>
      </c>
    </row>
    <row r="102" spans="2:33" ht="24.75" hidden="1" thickTop="1" thickBot="1">
      <c r="B102" s="762">
        <v>10</v>
      </c>
      <c r="C102" s="777"/>
      <c r="D102" s="764" t="s">
        <v>92</v>
      </c>
      <c r="E102" s="766" t="s">
        <v>65</v>
      </c>
      <c r="F102" s="767">
        <v>1000</v>
      </c>
      <c r="G102" s="57" t="s">
        <v>66</v>
      </c>
      <c r="H102" s="58"/>
      <c r="I102" s="18"/>
      <c r="J102" s="18"/>
      <c r="K102" s="18"/>
      <c r="L102" s="19"/>
      <c r="M102" s="59"/>
      <c r="N102" s="18"/>
      <c r="O102" s="18"/>
      <c r="P102" s="25"/>
      <c r="Q102" s="59"/>
      <c r="R102" s="18"/>
      <c r="S102" s="18"/>
      <c r="T102" s="781"/>
      <c r="U102" s="25"/>
      <c r="V102" s="58"/>
      <c r="W102" s="18"/>
      <c r="X102" s="18"/>
      <c r="Y102" s="72">
        <v>1000</v>
      </c>
      <c r="Z102" s="58"/>
      <c r="AA102" s="18"/>
      <c r="AB102" s="18"/>
      <c r="AC102" s="72">
        <v>1000</v>
      </c>
    </row>
    <row r="103" spans="2:33" ht="24" hidden="1" thickBot="1">
      <c r="B103" s="763"/>
      <c r="C103" s="778"/>
      <c r="D103" s="765"/>
      <c r="E103" s="765"/>
      <c r="F103" s="768"/>
      <c r="G103" s="40" t="s">
        <v>68</v>
      </c>
      <c r="H103" s="62"/>
      <c r="I103" s="81"/>
      <c r="J103" s="81"/>
      <c r="K103" s="81"/>
      <c r="L103" s="82"/>
      <c r="M103" s="62"/>
      <c r="N103" s="83"/>
      <c r="O103" s="83"/>
      <c r="P103" s="84"/>
      <c r="Q103" s="62"/>
      <c r="R103" s="83"/>
      <c r="S103" s="83"/>
      <c r="T103" s="782"/>
      <c r="U103" s="84"/>
      <c r="V103" s="62"/>
      <c r="W103" s="81"/>
      <c r="X103" s="81"/>
      <c r="Y103" s="67" t="s">
        <v>89</v>
      </c>
      <c r="Z103" s="62"/>
      <c r="AA103" s="81"/>
      <c r="AB103" s="81"/>
      <c r="AC103" s="341" t="s">
        <v>89</v>
      </c>
    </row>
    <row r="104" spans="2:33">
      <c r="AC104" s="756" t="s">
        <v>226</v>
      </c>
      <c r="AD104" s="342"/>
      <c r="AE104" s="758">
        <f>AE42*A41</f>
        <v>1080332945.0000002</v>
      </c>
      <c r="AF104" s="758"/>
      <c r="AG104" s="759"/>
    </row>
    <row r="105" spans="2:33" ht="21" thickBot="1">
      <c r="AC105" s="757"/>
      <c r="AD105" s="343"/>
      <c r="AE105" s="760"/>
      <c r="AF105" s="760"/>
      <c r="AG105" s="761"/>
    </row>
  </sheetData>
  <mergeCells count="227">
    <mergeCell ref="V8:Y8"/>
    <mergeCell ref="Z8:AC8"/>
    <mergeCell ref="B10:B13"/>
    <mergeCell ref="C10:C13"/>
    <mergeCell ref="E10:E13"/>
    <mergeCell ref="F10:F13"/>
    <mergeCell ref="B8:B9"/>
    <mergeCell ref="C8:C9"/>
    <mergeCell ref="E8:E9"/>
    <mergeCell ref="F8:F9"/>
    <mergeCell ref="H8:L8"/>
    <mergeCell ref="M8:P8"/>
    <mergeCell ref="F23:F24"/>
    <mergeCell ref="A27:A28"/>
    <mergeCell ref="H17:L17"/>
    <mergeCell ref="M17:P17"/>
    <mergeCell ref="Q17:U17"/>
    <mergeCell ref="V17:Y17"/>
    <mergeCell ref="Z17:AC17"/>
    <mergeCell ref="AE17:AE18"/>
    <mergeCell ref="A17:A18"/>
    <mergeCell ref="B17:B18"/>
    <mergeCell ref="C17:C18"/>
    <mergeCell ref="D17:D18"/>
    <mergeCell ref="E17:E18"/>
    <mergeCell ref="F17:F18"/>
    <mergeCell ref="AG23:AG24"/>
    <mergeCell ref="A25:A26"/>
    <mergeCell ref="B25:B26"/>
    <mergeCell ref="D25:D26"/>
    <mergeCell ref="E25:E26"/>
    <mergeCell ref="F25:F26"/>
    <mergeCell ref="T19:T42"/>
    <mergeCell ref="AG19:AG20"/>
    <mergeCell ref="A21:A22"/>
    <mergeCell ref="B21:B22"/>
    <mergeCell ref="D21:D22"/>
    <mergeCell ref="E21:E22"/>
    <mergeCell ref="F21:F22"/>
    <mergeCell ref="AG21:AG22"/>
    <mergeCell ref="A23:A24"/>
    <mergeCell ref="B23:B24"/>
    <mergeCell ref="A19:A20"/>
    <mergeCell ref="B19:B20"/>
    <mergeCell ref="C19:C40"/>
    <mergeCell ref="D19:D20"/>
    <mergeCell ref="E19:E20"/>
    <mergeCell ref="F19:F20"/>
    <mergeCell ref="D23:D24"/>
    <mergeCell ref="E23:E24"/>
    <mergeCell ref="AG29:AG30"/>
    <mergeCell ref="A31:A32"/>
    <mergeCell ref="B31:B32"/>
    <mergeCell ref="D31:D32"/>
    <mergeCell ref="E31:E32"/>
    <mergeCell ref="F31:F32"/>
    <mergeCell ref="AG31:AG32"/>
    <mergeCell ref="B27:B28"/>
    <mergeCell ref="D27:D28"/>
    <mergeCell ref="E27:E28"/>
    <mergeCell ref="F27:F28"/>
    <mergeCell ref="AG27:AG28"/>
    <mergeCell ref="A29:A30"/>
    <mergeCell ref="B29:B30"/>
    <mergeCell ref="D29:D30"/>
    <mergeCell ref="E29:E30"/>
    <mergeCell ref="F29:F30"/>
    <mergeCell ref="AG39:AG40"/>
    <mergeCell ref="A37:A38"/>
    <mergeCell ref="B37:B38"/>
    <mergeCell ref="D37:D38"/>
    <mergeCell ref="E37:E38"/>
    <mergeCell ref="F37:F38"/>
    <mergeCell ref="AG37:AG38"/>
    <mergeCell ref="A33:A36"/>
    <mergeCell ref="B33:B36"/>
    <mergeCell ref="D33:D36"/>
    <mergeCell ref="E33:E34"/>
    <mergeCell ref="F33:F34"/>
    <mergeCell ref="AG33:AG34"/>
    <mergeCell ref="E35:E36"/>
    <mergeCell ref="F35:F36"/>
    <mergeCell ref="A41:B42"/>
    <mergeCell ref="C41:F42"/>
    <mergeCell ref="M41:M42"/>
    <mergeCell ref="N41:N42"/>
    <mergeCell ref="B44:C45"/>
    <mergeCell ref="E44:E45"/>
    <mergeCell ref="F44:I44"/>
    <mergeCell ref="J44:N44"/>
    <mergeCell ref="A39:A40"/>
    <mergeCell ref="B39:B40"/>
    <mergeCell ref="D39:D40"/>
    <mergeCell ref="E39:E40"/>
    <mergeCell ref="F39:F40"/>
    <mergeCell ref="X44:Y44"/>
    <mergeCell ref="AB44:AC44"/>
    <mergeCell ref="A53:A54"/>
    <mergeCell ref="B53:B54"/>
    <mergeCell ref="C53:C54"/>
    <mergeCell ref="D53:D54"/>
    <mergeCell ref="E53:E54"/>
    <mergeCell ref="F53:F54"/>
    <mergeCell ref="H53:L53"/>
    <mergeCell ref="M53:P53"/>
    <mergeCell ref="Q53:U53"/>
    <mergeCell ref="V53:Y53"/>
    <mergeCell ref="Z53:AC53"/>
    <mergeCell ref="AG59:AG60"/>
    <mergeCell ref="AG55:AG56"/>
    <mergeCell ref="A57:A58"/>
    <mergeCell ref="B57:B58"/>
    <mergeCell ref="D57:D58"/>
    <mergeCell ref="E57:E58"/>
    <mergeCell ref="F57:F58"/>
    <mergeCell ref="AG57:AG58"/>
    <mergeCell ref="AG63:AG64"/>
    <mergeCell ref="A55:A56"/>
    <mergeCell ref="B55:B56"/>
    <mergeCell ref="C55:C76"/>
    <mergeCell ref="D55:D56"/>
    <mergeCell ref="E55:E56"/>
    <mergeCell ref="F55:F56"/>
    <mergeCell ref="T55:T76"/>
    <mergeCell ref="A59:A60"/>
    <mergeCell ref="B59:B60"/>
    <mergeCell ref="D59:D60"/>
    <mergeCell ref="E59:E60"/>
    <mergeCell ref="F59:F60"/>
    <mergeCell ref="A65:A66"/>
    <mergeCell ref="B65:B66"/>
    <mergeCell ref="D65:D66"/>
    <mergeCell ref="AG65:AG66"/>
    <mergeCell ref="A61:A62"/>
    <mergeCell ref="B61:B62"/>
    <mergeCell ref="D61:D62"/>
    <mergeCell ref="E61:E62"/>
    <mergeCell ref="F61:F62"/>
    <mergeCell ref="A63:A64"/>
    <mergeCell ref="B63:B64"/>
    <mergeCell ref="D63:D64"/>
    <mergeCell ref="E63:E64"/>
    <mergeCell ref="F63:F64"/>
    <mergeCell ref="E65:E66"/>
    <mergeCell ref="F65:F66"/>
    <mergeCell ref="AG69:AG70"/>
    <mergeCell ref="E71:E72"/>
    <mergeCell ref="F71:F72"/>
    <mergeCell ref="A67:A68"/>
    <mergeCell ref="B67:B68"/>
    <mergeCell ref="D67:D68"/>
    <mergeCell ref="E67:E68"/>
    <mergeCell ref="F67:F68"/>
    <mergeCell ref="AG67:AG68"/>
    <mergeCell ref="A69:A72"/>
    <mergeCell ref="B69:B72"/>
    <mergeCell ref="D69:D72"/>
    <mergeCell ref="E69:E70"/>
    <mergeCell ref="F69:F70"/>
    <mergeCell ref="D75:D76"/>
    <mergeCell ref="E75:E76"/>
    <mergeCell ref="F75:F76"/>
    <mergeCell ref="AG75:AG76"/>
    <mergeCell ref="A73:A74"/>
    <mergeCell ref="B73:B74"/>
    <mergeCell ref="D73:D74"/>
    <mergeCell ref="E73:E74"/>
    <mergeCell ref="F73:F74"/>
    <mergeCell ref="AG73:AG74"/>
    <mergeCell ref="A75:A76"/>
    <mergeCell ref="B75:B76"/>
    <mergeCell ref="M80:P80"/>
    <mergeCell ref="Q80:U80"/>
    <mergeCell ref="V80:Y80"/>
    <mergeCell ref="Z80:AC80"/>
    <mergeCell ref="B82:B83"/>
    <mergeCell ref="C82:C103"/>
    <mergeCell ref="D82:D83"/>
    <mergeCell ref="E82:E83"/>
    <mergeCell ref="F82:F83"/>
    <mergeCell ref="T82:T103"/>
    <mergeCell ref="B80:B81"/>
    <mergeCell ref="C80:C81"/>
    <mergeCell ref="D80:D81"/>
    <mergeCell ref="E80:E81"/>
    <mergeCell ref="F80:F81"/>
    <mergeCell ref="H80:L80"/>
    <mergeCell ref="B88:B89"/>
    <mergeCell ref="D88:D89"/>
    <mergeCell ref="E88:E89"/>
    <mergeCell ref="F88:F89"/>
    <mergeCell ref="B90:B91"/>
    <mergeCell ref="D90:D91"/>
    <mergeCell ref="E90:E91"/>
    <mergeCell ref="F90:F91"/>
    <mergeCell ref="B84:B85"/>
    <mergeCell ref="D84:D85"/>
    <mergeCell ref="E84:E85"/>
    <mergeCell ref="F84:F85"/>
    <mergeCell ref="B86:B87"/>
    <mergeCell ref="D86:D87"/>
    <mergeCell ref="E86:E87"/>
    <mergeCell ref="F86:F87"/>
    <mergeCell ref="B96:B99"/>
    <mergeCell ref="D96:D99"/>
    <mergeCell ref="E96:E97"/>
    <mergeCell ref="F96:F97"/>
    <mergeCell ref="E98:E99"/>
    <mergeCell ref="F98:F99"/>
    <mergeCell ref="B92:B93"/>
    <mergeCell ref="D92:D93"/>
    <mergeCell ref="E92:E93"/>
    <mergeCell ref="F92:F93"/>
    <mergeCell ref="B94:B95"/>
    <mergeCell ref="D94:D95"/>
    <mergeCell ref="E94:E95"/>
    <mergeCell ref="F94:F95"/>
    <mergeCell ref="AC104:AC105"/>
    <mergeCell ref="AE104:AG105"/>
    <mergeCell ref="B100:B101"/>
    <mergeCell ref="D100:D101"/>
    <mergeCell ref="E100:E101"/>
    <mergeCell ref="F100:F101"/>
    <mergeCell ref="B102:B103"/>
    <mergeCell ref="D102:D103"/>
    <mergeCell ref="E102:E103"/>
    <mergeCell ref="F102:F10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30"/>
  <sheetViews>
    <sheetView showGridLines="0" tabSelected="1" topLeftCell="A14" zoomScale="57" zoomScaleNormal="50" workbookViewId="0">
      <pane xSplit="12" ySplit="5" topLeftCell="M19" activePane="bottomRight" state="frozen"/>
      <selection activeCell="A14" sqref="A14"/>
      <selection pane="topRight" activeCell="M14" sqref="M14"/>
      <selection pane="bottomLeft" activeCell="A19" sqref="A19"/>
      <selection pane="bottomRight" activeCell="P135" sqref="P135"/>
    </sheetView>
  </sheetViews>
  <sheetFormatPr defaultRowHeight="20.25"/>
  <cols>
    <col min="2" max="2" width="5.5" customWidth="1"/>
    <col min="3" max="5" width="13.1640625" customWidth="1"/>
    <col min="6" max="7" width="11.1640625" customWidth="1"/>
    <col min="8" max="12" width="10.5" hidden="1" customWidth="1"/>
    <col min="13" max="13" width="10.5" customWidth="1"/>
    <col min="14" max="14" width="10.4140625" customWidth="1"/>
    <col min="15" max="19" width="12.58203125" customWidth="1"/>
    <col min="20" max="20" width="10.5" customWidth="1"/>
    <col min="21" max="29" width="12.58203125" customWidth="1"/>
    <col min="30" max="30" width="1.75" customWidth="1"/>
    <col min="31" max="31" width="18.25" bestFit="1" customWidth="1"/>
    <col min="32" max="32" width="1.4140625" customWidth="1"/>
    <col min="33" max="33" width="8.83203125" bestFit="1" customWidth="1"/>
  </cols>
  <sheetData>
    <row r="1" spans="1:35">
      <c r="H1" t="s">
        <v>0</v>
      </c>
    </row>
    <row r="5" spans="1:35" s="3" customFormat="1" ht="27.75">
      <c r="A5" s="1"/>
      <c r="B5" s="2" t="s">
        <v>1</v>
      </c>
      <c r="C5" s="1"/>
      <c r="D5" s="1"/>
    </row>
    <row r="6" spans="1:35" s="3" customFormat="1" ht="23.25">
      <c r="A6" s="1"/>
      <c r="B6" s="4" t="s">
        <v>2</v>
      </c>
      <c r="C6" s="1"/>
      <c r="D6" s="1"/>
    </row>
    <row r="7" spans="1:35" s="3" customFormat="1" ht="23.25">
      <c r="A7" s="1"/>
      <c r="B7" s="1"/>
      <c r="C7" s="4"/>
      <c r="D7" s="4"/>
    </row>
    <row r="8" spans="1:35" s="9" customFormat="1" ht="23.25" hidden="1">
      <c r="A8" s="5"/>
      <c r="B8" s="783" t="s">
        <v>3</v>
      </c>
      <c r="C8" s="785" t="s">
        <v>188</v>
      </c>
      <c r="D8" s="486"/>
      <c r="E8" s="785" t="s">
        <v>4</v>
      </c>
      <c r="F8" s="785" t="s">
        <v>5</v>
      </c>
      <c r="G8" s="6"/>
      <c r="H8" s="772" t="s">
        <v>6</v>
      </c>
      <c r="I8" s="822"/>
      <c r="J8" s="822"/>
      <c r="K8" s="822"/>
      <c r="L8" s="822"/>
      <c r="M8" s="772" t="s">
        <v>7</v>
      </c>
      <c r="N8" s="822"/>
      <c r="O8" s="822"/>
      <c r="P8" s="823"/>
      <c r="Q8"/>
      <c r="R8" s="7" t="s">
        <v>8</v>
      </c>
      <c r="S8" s="7"/>
      <c r="T8" s="3"/>
      <c r="U8" s="3"/>
      <c r="V8" s="772" t="s">
        <v>6</v>
      </c>
      <c r="W8" s="822"/>
      <c r="X8" s="822"/>
      <c r="Y8" s="823"/>
      <c r="Z8" s="772" t="s">
        <v>6</v>
      </c>
      <c r="AA8" s="822"/>
      <c r="AB8" s="822"/>
      <c r="AC8" s="823"/>
      <c r="AD8" s="8"/>
      <c r="AE8" s="3"/>
      <c r="AF8" s="3"/>
      <c r="AG8"/>
    </row>
    <row r="9" spans="1:35" s="9" customFormat="1" ht="24" hidden="1" thickBot="1">
      <c r="A9" s="5"/>
      <c r="B9" s="784"/>
      <c r="C9" s="786"/>
      <c r="D9" s="487"/>
      <c r="E9" s="786"/>
      <c r="F9" s="786"/>
      <c r="G9" s="5"/>
      <c r="H9" s="10" t="s">
        <v>9</v>
      </c>
      <c r="I9" s="11" t="s">
        <v>10</v>
      </c>
      <c r="J9" s="11" t="s">
        <v>11</v>
      </c>
      <c r="K9" s="11" t="s">
        <v>11</v>
      </c>
      <c r="L9" s="12"/>
      <c r="M9" s="10" t="s">
        <v>12</v>
      </c>
      <c r="N9" s="11" t="s">
        <v>13</v>
      </c>
      <c r="O9" s="11" t="s">
        <v>14</v>
      </c>
      <c r="P9" s="13" t="s">
        <v>15</v>
      </c>
      <c r="Q9"/>
      <c r="R9" s="3"/>
      <c r="S9" s="3"/>
      <c r="T9" s="3"/>
      <c r="U9" s="3"/>
      <c r="V9" s="10" t="s">
        <v>9</v>
      </c>
      <c r="W9" s="11" t="s">
        <v>10</v>
      </c>
      <c r="X9" s="11" t="s">
        <v>11</v>
      </c>
      <c r="Y9" s="13" t="s">
        <v>16</v>
      </c>
      <c r="Z9" s="10" t="s">
        <v>9</v>
      </c>
      <c r="AA9" s="11" t="s">
        <v>10</v>
      </c>
      <c r="AB9" s="11" t="s">
        <v>11</v>
      </c>
      <c r="AC9" s="13" t="s">
        <v>16</v>
      </c>
      <c r="AD9" s="14"/>
      <c r="AE9" s="3"/>
      <c r="AF9" s="3"/>
      <c r="AG9"/>
    </row>
    <row r="10" spans="1:35" s="3" customFormat="1" ht="25.15" hidden="1" customHeight="1">
      <c r="A10" s="1"/>
      <c r="B10" s="824">
        <v>1</v>
      </c>
      <c r="C10" s="777" t="s">
        <v>17</v>
      </c>
      <c r="D10" s="484"/>
      <c r="E10" s="766" t="s">
        <v>18</v>
      </c>
      <c r="F10" s="767">
        <v>1500</v>
      </c>
      <c r="G10" s="15"/>
      <c r="H10" s="16"/>
      <c r="I10" s="17"/>
      <c r="J10" s="18">
        <v>800</v>
      </c>
      <c r="K10" s="18">
        <v>800</v>
      </c>
      <c r="L10" s="19"/>
      <c r="M10" s="20"/>
      <c r="N10" s="17"/>
      <c r="O10" s="21"/>
      <c r="P10" s="22"/>
      <c r="Q10"/>
      <c r="R10" s="23" t="s">
        <v>19</v>
      </c>
      <c r="S10" s="23"/>
      <c r="T10" s="23" t="s">
        <v>20</v>
      </c>
      <c r="U10" s="24" t="s">
        <v>21</v>
      </c>
      <c r="V10" s="16"/>
      <c r="W10" s="17"/>
      <c r="X10" s="18">
        <v>800</v>
      </c>
      <c r="Y10" s="25">
        <v>700</v>
      </c>
      <c r="Z10" s="16"/>
      <c r="AA10" s="17"/>
      <c r="AB10" s="18">
        <v>800</v>
      </c>
      <c r="AC10" s="25">
        <v>700</v>
      </c>
      <c r="AD10" s="19"/>
      <c r="AE10" s="24" t="s">
        <v>22</v>
      </c>
      <c r="AF10" s="335"/>
      <c r="AG10"/>
    </row>
    <row r="11" spans="1:35" s="3" customFormat="1" ht="25.15" hidden="1" customHeight="1">
      <c r="A11" s="1"/>
      <c r="B11" s="825"/>
      <c r="C11" s="777"/>
      <c r="D11" s="484"/>
      <c r="E11" s="766"/>
      <c r="F11" s="813"/>
      <c r="G11" s="26"/>
      <c r="H11" s="27"/>
      <c r="I11" s="28"/>
      <c r="J11" s="29" t="s">
        <v>23</v>
      </c>
      <c r="K11" s="29" t="s">
        <v>23</v>
      </c>
      <c r="L11" s="30"/>
      <c r="M11" s="28"/>
      <c r="N11" s="28"/>
      <c r="O11" s="31"/>
      <c r="P11" s="32"/>
      <c r="Q11"/>
      <c r="R11" s="33" t="s">
        <v>24</v>
      </c>
      <c r="S11" s="33"/>
      <c r="T11" s="33" t="s">
        <v>25</v>
      </c>
      <c r="U11" s="34">
        <v>110000000</v>
      </c>
      <c r="V11" s="27"/>
      <c r="W11" s="28"/>
      <c r="X11" s="29" t="s">
        <v>23</v>
      </c>
      <c r="Y11" s="35" t="s">
        <v>26</v>
      </c>
      <c r="Z11" s="27"/>
      <c r="AA11" s="28"/>
      <c r="AB11" s="29" t="s">
        <v>23</v>
      </c>
      <c r="AC11" s="35" t="s">
        <v>26</v>
      </c>
      <c r="AD11" s="30"/>
      <c r="AE11" s="36" t="s">
        <v>27</v>
      </c>
      <c r="AF11" s="7"/>
      <c r="AG11"/>
      <c r="AH11">
        <v>150</v>
      </c>
      <c r="AI11" s="37">
        <v>45961</v>
      </c>
    </row>
    <row r="12" spans="1:35" s="3" customFormat="1" ht="25.15" hidden="1" customHeight="1">
      <c r="A12" s="1"/>
      <c r="B12" s="825"/>
      <c r="C12" s="777"/>
      <c r="D12" s="484"/>
      <c r="E12" s="766"/>
      <c r="F12" s="813"/>
      <c r="G12" s="26"/>
      <c r="H12" s="20"/>
      <c r="I12" s="28"/>
      <c r="J12" s="28"/>
      <c r="K12" s="28"/>
      <c r="L12" s="19"/>
      <c r="M12" s="20">
        <v>540</v>
      </c>
      <c r="N12" s="28"/>
      <c r="O12" s="28"/>
      <c r="P12" s="25"/>
      <c r="Q12"/>
      <c r="R12" s="33" t="s">
        <v>28</v>
      </c>
      <c r="S12" s="33"/>
      <c r="T12" s="33" t="s">
        <v>29</v>
      </c>
      <c r="U12" s="34">
        <v>500000</v>
      </c>
      <c r="V12" s="20"/>
      <c r="W12" s="28"/>
      <c r="X12" s="28"/>
      <c r="Y12" s="38">
        <v>150</v>
      </c>
      <c r="Z12" s="20"/>
      <c r="AA12" s="28"/>
      <c r="AB12" s="28"/>
      <c r="AC12" s="38">
        <v>150</v>
      </c>
      <c r="AD12" s="19"/>
      <c r="AE12" s="39">
        <v>45957</v>
      </c>
      <c r="AF12" s="336"/>
      <c r="AG12"/>
      <c r="AH12">
        <v>300</v>
      </c>
      <c r="AI12" s="37">
        <v>45966</v>
      </c>
    </row>
    <row r="13" spans="1:35" s="3" customFormat="1" ht="24.4" hidden="1" customHeight="1">
      <c r="A13" s="1"/>
      <c r="B13" s="826"/>
      <c r="C13" s="778"/>
      <c r="D13" s="485"/>
      <c r="E13" s="765"/>
      <c r="F13" s="768"/>
      <c r="G13" s="40"/>
      <c r="H13" s="41"/>
      <c r="I13" s="42"/>
      <c r="J13" s="42"/>
      <c r="K13" s="42"/>
      <c r="L13" s="43"/>
      <c r="M13" s="44" t="s">
        <v>30</v>
      </c>
      <c r="N13" s="42"/>
      <c r="O13" s="42"/>
      <c r="P13" s="45"/>
      <c r="Q13"/>
      <c r="R13" s="33" t="s">
        <v>31</v>
      </c>
      <c r="S13" s="33"/>
      <c r="T13" s="33" t="s">
        <v>32</v>
      </c>
      <c r="U13" s="34">
        <v>15000000</v>
      </c>
      <c r="V13" s="41"/>
      <c r="W13" s="42"/>
      <c r="X13" s="42"/>
      <c r="Y13" s="46" t="s">
        <v>26</v>
      </c>
      <c r="Z13" s="41"/>
      <c r="AA13" s="42"/>
      <c r="AB13" s="42"/>
      <c r="AC13" s="46" t="s">
        <v>26</v>
      </c>
      <c r="AD13" s="47"/>
      <c r="AE13" s="36" t="s">
        <v>27</v>
      </c>
      <c r="AF13" s="7"/>
      <c r="AG13"/>
      <c r="AH13">
        <v>240</v>
      </c>
      <c r="AI13" s="37">
        <v>45968</v>
      </c>
    </row>
    <row r="15" spans="1:35">
      <c r="B15" t="s">
        <v>351</v>
      </c>
    </row>
    <row r="16" spans="1:35" ht="21" thickBot="1"/>
    <row r="17" spans="1:35" s="9" customFormat="1" ht="23.25">
      <c r="A17" s="827" t="s">
        <v>34</v>
      </c>
      <c r="B17" s="783" t="s">
        <v>3</v>
      </c>
      <c r="C17" s="785" t="s">
        <v>188</v>
      </c>
      <c r="D17" s="785" t="s">
        <v>35</v>
      </c>
      <c r="E17" s="785" t="s">
        <v>4</v>
      </c>
      <c r="F17" s="785" t="s">
        <v>36</v>
      </c>
      <c r="G17" s="48" t="s">
        <v>37</v>
      </c>
      <c r="H17" s="772">
        <v>46023</v>
      </c>
      <c r="I17" s="773"/>
      <c r="J17" s="773"/>
      <c r="K17" s="773"/>
      <c r="L17" s="773"/>
      <c r="M17" s="772" t="s">
        <v>38</v>
      </c>
      <c r="N17" s="773"/>
      <c r="O17" s="773"/>
      <c r="P17" s="829"/>
      <c r="Q17" s="773" t="s">
        <v>39</v>
      </c>
      <c r="R17" s="773"/>
      <c r="S17" s="773"/>
      <c r="T17" s="773"/>
      <c r="U17" s="829"/>
      <c r="V17" s="773">
        <v>46113</v>
      </c>
      <c r="W17" s="773"/>
      <c r="X17" s="773"/>
      <c r="Y17" s="774"/>
      <c r="Z17" s="830">
        <v>46143</v>
      </c>
      <c r="AA17" s="831"/>
      <c r="AB17" s="831"/>
      <c r="AC17" s="832"/>
      <c r="AD17"/>
      <c r="AE17" s="819" t="s">
        <v>124</v>
      </c>
      <c r="AF17" s="670"/>
      <c r="AG17" s="447"/>
    </row>
    <row r="18" spans="1:35" s="9" customFormat="1" ht="24" thickBot="1">
      <c r="A18" s="828"/>
      <c r="B18" s="821"/>
      <c r="C18" s="777"/>
      <c r="D18" s="777"/>
      <c r="E18" s="777"/>
      <c r="F18" s="777"/>
      <c r="G18" s="214" t="s">
        <v>40</v>
      </c>
      <c r="H18" s="215" t="s">
        <v>41</v>
      </c>
      <c r="I18" s="125" t="s">
        <v>42</v>
      </c>
      <c r="J18" s="216" t="s">
        <v>43</v>
      </c>
      <c r="K18" s="125" t="s">
        <v>44</v>
      </c>
      <c r="L18" s="217" t="s">
        <v>45</v>
      </c>
      <c r="M18" s="481" t="s">
        <v>46</v>
      </c>
      <c r="N18" s="482" t="s">
        <v>47</v>
      </c>
      <c r="O18" s="483" t="s">
        <v>48</v>
      </c>
      <c r="P18" s="684" t="s">
        <v>49</v>
      </c>
      <c r="Q18" s="681" t="s">
        <v>50</v>
      </c>
      <c r="R18" s="49" t="s">
        <v>51</v>
      </c>
      <c r="S18" s="49" t="s">
        <v>52</v>
      </c>
      <c r="T18" s="218" t="s">
        <v>53</v>
      </c>
      <c r="U18" s="695" t="s">
        <v>54</v>
      </c>
      <c r="V18" s="49" t="s">
        <v>55</v>
      </c>
      <c r="W18" s="125" t="s">
        <v>56</v>
      </c>
      <c r="X18" s="49" t="s">
        <v>57</v>
      </c>
      <c r="Y18" s="219" t="s">
        <v>58</v>
      </c>
      <c r="Z18" s="215" t="s">
        <v>59</v>
      </c>
      <c r="AA18" s="125" t="s">
        <v>60</v>
      </c>
      <c r="AB18" s="49" t="s">
        <v>61</v>
      </c>
      <c r="AC18" s="219" t="s">
        <v>62</v>
      </c>
      <c r="AD18"/>
      <c r="AE18" s="820"/>
      <c r="AF18" s="3"/>
      <c r="AG18" s="452"/>
    </row>
    <row r="19" spans="1:35" s="3" customFormat="1" ht="25.15" customHeight="1" thickTop="1" thickBot="1">
      <c r="A19" s="815">
        <v>5</v>
      </c>
      <c r="B19" s="815">
        <v>1</v>
      </c>
      <c r="C19" s="816" t="s">
        <v>63</v>
      </c>
      <c r="D19" s="817" t="s">
        <v>64</v>
      </c>
      <c r="E19" s="817" t="s">
        <v>65</v>
      </c>
      <c r="F19" s="818">
        <v>1000</v>
      </c>
      <c r="G19" s="220" t="s">
        <v>66</v>
      </c>
      <c r="H19" s="221"/>
      <c r="I19" s="28"/>
      <c r="J19" s="28"/>
      <c r="K19" s="28"/>
      <c r="L19" s="222"/>
      <c r="M19" s="223"/>
      <c r="N19" s="224">
        <v>540</v>
      </c>
      <c r="O19" s="224">
        <v>420</v>
      </c>
      <c r="P19" s="685"/>
      <c r="Q19" s="710"/>
      <c r="R19" s="1113">
        <v>40</v>
      </c>
      <c r="S19" s="495"/>
      <c r="T19" s="814" t="s">
        <v>67</v>
      </c>
      <c r="U19" s="696"/>
      <c r="V19" s="688"/>
      <c r="W19" s="495"/>
      <c r="X19" s="495"/>
      <c r="Y19" s="496"/>
      <c r="Z19" s="221"/>
      <c r="AA19" s="28"/>
      <c r="AB19" s="28"/>
      <c r="AC19" s="225"/>
      <c r="AD19"/>
      <c r="AE19" s="338"/>
      <c r="AF19"/>
      <c r="AG19" s="775">
        <v>5</v>
      </c>
    </row>
    <row r="20" spans="1:35" s="3" customFormat="1" ht="25.15" customHeight="1" thickBot="1">
      <c r="A20" s="763"/>
      <c r="B20" s="763"/>
      <c r="C20" s="777"/>
      <c r="D20" s="770"/>
      <c r="E20" s="765"/>
      <c r="F20" s="768"/>
      <c r="G20" s="40" t="s">
        <v>68</v>
      </c>
      <c r="H20" s="62"/>
      <c r="I20" s="63"/>
      <c r="J20" s="63"/>
      <c r="K20" s="63"/>
      <c r="L20" s="64"/>
      <c r="M20" s="65"/>
      <c r="N20" s="66" t="s">
        <v>69</v>
      </c>
      <c r="O20" s="66" t="s">
        <v>70</v>
      </c>
      <c r="P20" s="46"/>
      <c r="Q20" s="711"/>
      <c r="R20" s="1114">
        <v>46092</v>
      </c>
      <c r="S20" s="499"/>
      <c r="T20" s="781"/>
      <c r="U20" s="697"/>
      <c r="V20" s="689"/>
      <c r="W20" s="499"/>
      <c r="X20" s="499"/>
      <c r="Y20" s="500"/>
      <c r="Z20" s="62"/>
      <c r="AA20" s="63"/>
      <c r="AB20" s="63"/>
      <c r="AC20" s="68"/>
      <c r="AD20"/>
      <c r="AE20" s="337"/>
      <c r="AF20"/>
      <c r="AG20" s="763"/>
      <c r="AH20">
        <v>150</v>
      </c>
      <c r="AI20" s="37">
        <v>45961</v>
      </c>
    </row>
    <row r="21" spans="1:35" ht="24.75" thickTop="1" thickBot="1">
      <c r="A21" s="762">
        <v>6</v>
      </c>
      <c r="B21" s="762">
        <v>2</v>
      </c>
      <c r="C21" s="777"/>
      <c r="D21" s="764" t="s">
        <v>72</v>
      </c>
      <c r="E21" s="766" t="s">
        <v>73</v>
      </c>
      <c r="F21" s="767">
        <v>1000</v>
      </c>
      <c r="G21" s="57" t="s">
        <v>66</v>
      </c>
      <c r="H21" s="58"/>
      <c r="I21" s="18"/>
      <c r="J21" s="60">
        <v>30</v>
      </c>
      <c r="K21" s="60">
        <v>90</v>
      </c>
      <c r="L21" s="19"/>
      <c r="M21" s="70">
        <v>420</v>
      </c>
      <c r="N21" s="60">
        <v>450</v>
      </c>
      <c r="O21" s="60">
        <v>10</v>
      </c>
      <c r="P21" s="38"/>
      <c r="Q21" s="712"/>
      <c r="R21" s="503"/>
      <c r="S21" s="503"/>
      <c r="T21" s="781"/>
      <c r="U21" s="698"/>
      <c r="V21" s="690"/>
      <c r="W21" s="503"/>
      <c r="X21" s="503"/>
      <c r="Y21" s="504"/>
      <c r="Z21" s="58"/>
      <c r="AA21" s="18"/>
      <c r="AB21" s="18"/>
      <c r="AC21" s="25"/>
      <c r="AE21" s="338"/>
      <c r="AG21" s="762">
        <v>6</v>
      </c>
    </row>
    <row r="22" spans="1:35" ht="24" thickBot="1">
      <c r="A22" s="763"/>
      <c r="B22" s="763"/>
      <c r="C22" s="777"/>
      <c r="D22" s="765"/>
      <c r="E22" s="765"/>
      <c r="F22" s="768"/>
      <c r="G22" s="40" t="s">
        <v>68</v>
      </c>
      <c r="H22" s="62"/>
      <c r="I22" s="42"/>
      <c r="J22" s="66" t="s">
        <v>74</v>
      </c>
      <c r="K22" s="66" t="s">
        <v>75</v>
      </c>
      <c r="L22" s="43"/>
      <c r="M22" s="71" t="s">
        <v>76</v>
      </c>
      <c r="N22" s="66" t="s">
        <v>77</v>
      </c>
      <c r="O22" s="66" t="s">
        <v>70</v>
      </c>
      <c r="P22" s="46"/>
      <c r="Q22" s="711"/>
      <c r="R22" s="499"/>
      <c r="S22" s="499"/>
      <c r="T22" s="781"/>
      <c r="U22" s="697"/>
      <c r="V22" s="689"/>
      <c r="W22" s="507"/>
      <c r="X22" s="507"/>
      <c r="Y22" s="500"/>
      <c r="Z22" s="62"/>
      <c r="AA22" s="42"/>
      <c r="AB22" s="42"/>
      <c r="AC22" s="68"/>
      <c r="AE22" s="337"/>
      <c r="AG22" s="763"/>
    </row>
    <row r="23" spans="1:35" ht="24.75" thickTop="1" thickBot="1">
      <c r="A23" s="762">
        <v>7</v>
      </c>
      <c r="B23" s="762">
        <v>3</v>
      </c>
      <c r="C23" s="777"/>
      <c r="D23" s="764" t="s">
        <v>78</v>
      </c>
      <c r="E23" s="766" t="s">
        <v>65</v>
      </c>
      <c r="F23" s="767">
        <v>1000</v>
      </c>
      <c r="G23" s="57" t="s">
        <v>66</v>
      </c>
      <c r="H23" s="58"/>
      <c r="I23" s="18"/>
      <c r="J23" s="18"/>
      <c r="K23" s="18"/>
      <c r="L23" s="19"/>
      <c r="M23" s="59"/>
      <c r="N23" s="18"/>
      <c r="O23" s="18"/>
      <c r="P23" s="38"/>
      <c r="Q23" s="713"/>
      <c r="R23" s="1115">
        <v>140</v>
      </c>
      <c r="S23" s="509">
        <v>360</v>
      </c>
      <c r="T23" s="781"/>
      <c r="U23" s="699">
        <v>500</v>
      </c>
      <c r="V23" s="690"/>
      <c r="W23" s="588"/>
      <c r="X23" s="503"/>
      <c r="Y23" s="504"/>
      <c r="Z23" s="58"/>
      <c r="AA23" s="18"/>
      <c r="AB23" s="18"/>
      <c r="AC23" s="25"/>
      <c r="AE23" s="338"/>
      <c r="AG23" s="762">
        <v>7</v>
      </c>
    </row>
    <row r="24" spans="1:35" ht="24" thickBot="1">
      <c r="A24" s="763"/>
      <c r="B24" s="763"/>
      <c r="C24" s="777"/>
      <c r="D24" s="765"/>
      <c r="E24" s="765"/>
      <c r="F24" s="768"/>
      <c r="G24" s="40" t="s">
        <v>68</v>
      </c>
      <c r="H24" s="62"/>
      <c r="I24" s="42"/>
      <c r="J24" s="42"/>
      <c r="K24" s="42"/>
      <c r="L24" s="43"/>
      <c r="M24" s="65"/>
      <c r="N24" s="63"/>
      <c r="O24" s="63"/>
      <c r="P24" s="46"/>
      <c r="Q24" s="682"/>
      <c r="R24" s="1114">
        <v>46092</v>
      </c>
      <c r="S24" s="584">
        <v>46097</v>
      </c>
      <c r="T24" s="781"/>
      <c r="U24" s="700">
        <v>46108</v>
      </c>
      <c r="V24" s="689"/>
      <c r="W24" s="507"/>
      <c r="X24" s="507"/>
      <c r="Y24" s="500"/>
      <c r="Z24" s="62"/>
      <c r="AA24" s="42"/>
      <c r="AB24" s="42"/>
      <c r="AC24" s="68"/>
      <c r="AE24" s="337"/>
      <c r="AG24" s="763"/>
    </row>
    <row r="25" spans="1:35" ht="24.75" thickTop="1" thickBot="1">
      <c r="A25" s="762">
        <v>8</v>
      </c>
      <c r="B25" s="762">
        <v>4</v>
      </c>
      <c r="C25" s="777"/>
      <c r="D25" s="764" t="s">
        <v>80</v>
      </c>
      <c r="E25" s="766" t="s">
        <v>73</v>
      </c>
      <c r="F25" s="767">
        <v>4000</v>
      </c>
      <c r="G25" s="57" t="s">
        <v>66</v>
      </c>
      <c r="H25" s="58"/>
      <c r="I25" s="18"/>
      <c r="J25" s="18"/>
      <c r="K25" s="18"/>
      <c r="L25" s="19"/>
      <c r="M25" s="59"/>
      <c r="N25" s="18"/>
      <c r="O25" s="60">
        <v>320</v>
      </c>
      <c r="P25" s="38"/>
      <c r="Q25" s="1116">
        <v>180</v>
      </c>
      <c r="R25" s="1115">
        <v>540</v>
      </c>
      <c r="S25" s="509">
        <v>900</v>
      </c>
      <c r="T25" s="781"/>
      <c r="U25" s="699">
        <v>540</v>
      </c>
      <c r="V25" s="683">
        <v>720</v>
      </c>
      <c r="W25" s="509">
        <v>800</v>
      </c>
      <c r="X25" s="503"/>
      <c r="Y25" s="504"/>
      <c r="Z25" s="58"/>
      <c r="AA25" s="18"/>
      <c r="AB25" s="18"/>
      <c r="AC25" s="25"/>
      <c r="AE25" s="338"/>
      <c r="AG25" s="74">
        <v>8</v>
      </c>
    </row>
    <row r="26" spans="1:35" ht="24" thickBot="1">
      <c r="A26" s="769"/>
      <c r="B26" s="769"/>
      <c r="C26" s="777"/>
      <c r="D26" s="770"/>
      <c r="E26" s="765"/>
      <c r="F26" s="768"/>
      <c r="G26" s="40" t="s">
        <v>68</v>
      </c>
      <c r="H26" s="62"/>
      <c r="I26" s="42"/>
      <c r="J26" s="42"/>
      <c r="K26" s="42"/>
      <c r="L26" s="43"/>
      <c r="M26" s="65"/>
      <c r="N26" s="63"/>
      <c r="O26" s="66" t="s">
        <v>70</v>
      </c>
      <c r="P26" s="686"/>
      <c r="Q26" s="1117">
        <v>46088</v>
      </c>
      <c r="R26" s="1114">
        <v>46095</v>
      </c>
      <c r="S26" s="584">
        <v>46097</v>
      </c>
      <c r="T26" s="781"/>
      <c r="U26" s="700">
        <v>46108</v>
      </c>
      <c r="V26" s="691">
        <v>46115</v>
      </c>
      <c r="W26" s="584">
        <v>46121</v>
      </c>
      <c r="X26" s="507"/>
      <c r="Y26" s="500"/>
      <c r="Z26" s="62"/>
      <c r="AA26" s="42"/>
      <c r="AB26" s="42"/>
      <c r="AC26" s="68"/>
      <c r="AE26" s="337"/>
      <c r="AG26" s="78"/>
    </row>
    <row r="27" spans="1:35" ht="24.75" thickTop="1" thickBot="1">
      <c r="A27" s="762">
        <v>9</v>
      </c>
      <c r="B27" s="762">
        <v>5</v>
      </c>
      <c r="C27" s="777"/>
      <c r="D27" s="764" t="s">
        <v>83</v>
      </c>
      <c r="E27" s="766" t="s">
        <v>65</v>
      </c>
      <c r="F27" s="767">
        <v>1000</v>
      </c>
      <c r="G27" s="57" t="s">
        <v>66</v>
      </c>
      <c r="H27" s="58"/>
      <c r="I27" s="18"/>
      <c r="J27" s="18"/>
      <c r="K27" s="18"/>
      <c r="L27" s="19"/>
      <c r="M27" s="59"/>
      <c r="N27" s="18"/>
      <c r="O27" s="18"/>
      <c r="P27" s="38"/>
      <c r="Q27" s="713"/>
      <c r="R27" s="503"/>
      <c r="S27" s="503"/>
      <c r="T27" s="781"/>
      <c r="U27" s="698"/>
      <c r="V27" s="692"/>
      <c r="W27" s="509">
        <v>1000</v>
      </c>
      <c r="X27" s="503"/>
      <c r="Y27" s="504"/>
      <c r="Z27" s="58"/>
      <c r="AA27" s="18"/>
      <c r="AB27" s="18"/>
      <c r="AC27" s="25"/>
      <c r="AE27" s="338"/>
      <c r="AG27" s="762">
        <v>9</v>
      </c>
    </row>
    <row r="28" spans="1:35" ht="24" thickBot="1">
      <c r="A28" s="763"/>
      <c r="B28" s="763"/>
      <c r="C28" s="777"/>
      <c r="D28" s="765"/>
      <c r="E28" s="765"/>
      <c r="F28" s="768"/>
      <c r="G28" s="40" t="s">
        <v>68</v>
      </c>
      <c r="H28" s="62"/>
      <c r="I28" s="42"/>
      <c r="J28" s="42"/>
      <c r="K28" s="42"/>
      <c r="L28" s="43"/>
      <c r="M28" s="65"/>
      <c r="N28" s="63"/>
      <c r="O28" s="63"/>
      <c r="P28" s="686"/>
      <c r="Q28" s="682"/>
      <c r="R28" s="499"/>
      <c r="S28" s="499"/>
      <c r="T28" s="781"/>
      <c r="U28" s="697"/>
      <c r="V28" s="682"/>
      <c r="W28" s="584">
        <v>46123</v>
      </c>
      <c r="X28" s="507"/>
      <c r="Y28" s="500"/>
      <c r="Z28" s="62"/>
      <c r="AA28" s="42"/>
      <c r="AB28" s="42"/>
      <c r="AC28" s="68"/>
      <c r="AE28" s="337"/>
      <c r="AG28" s="763"/>
    </row>
    <row r="29" spans="1:35" ht="24.75" customHeight="1" thickTop="1" thickBot="1">
      <c r="A29" s="762">
        <v>4</v>
      </c>
      <c r="B29" s="762">
        <v>6</v>
      </c>
      <c r="C29" s="777"/>
      <c r="D29" s="764" t="s">
        <v>84</v>
      </c>
      <c r="E29" s="766" t="s">
        <v>85</v>
      </c>
      <c r="F29" s="767">
        <v>1500</v>
      </c>
      <c r="G29" s="57" t="s">
        <v>66</v>
      </c>
      <c r="H29" s="58"/>
      <c r="I29" s="18"/>
      <c r="J29" s="18"/>
      <c r="K29" s="18"/>
      <c r="L29" s="19"/>
      <c r="M29" s="59"/>
      <c r="N29" s="18"/>
      <c r="O29" s="18"/>
      <c r="P29" s="38"/>
      <c r="Q29" s="712"/>
      <c r="R29" s="503"/>
      <c r="S29" s="503"/>
      <c r="T29" s="781"/>
      <c r="U29" s="698"/>
      <c r="V29" s="690"/>
      <c r="W29" s="503"/>
      <c r="X29" s="503"/>
      <c r="Y29" s="504"/>
      <c r="Z29" s="58"/>
      <c r="AA29" s="18"/>
      <c r="AB29" s="509">
        <v>1000</v>
      </c>
      <c r="AC29" s="25"/>
      <c r="AE29" s="338"/>
      <c r="AG29" s="762">
        <v>4</v>
      </c>
    </row>
    <row r="30" spans="1:35" ht="24" customHeight="1" thickBot="1">
      <c r="A30" s="763"/>
      <c r="B30" s="763"/>
      <c r="C30" s="777"/>
      <c r="D30" s="765"/>
      <c r="E30" s="765"/>
      <c r="F30" s="768"/>
      <c r="G30" s="40" t="s">
        <v>68</v>
      </c>
      <c r="H30" s="62"/>
      <c r="I30" s="42"/>
      <c r="J30" s="42"/>
      <c r="K30" s="42"/>
      <c r="L30" s="43"/>
      <c r="M30" s="65"/>
      <c r="N30" s="63"/>
      <c r="O30" s="63"/>
      <c r="P30" s="46"/>
      <c r="Q30" s="711"/>
      <c r="R30" s="499"/>
      <c r="S30" s="499"/>
      <c r="T30" s="781"/>
      <c r="U30" s="697"/>
      <c r="V30" s="689"/>
      <c r="W30" s="507"/>
      <c r="X30" s="507"/>
      <c r="Y30" s="500"/>
      <c r="Z30" s="62"/>
      <c r="AA30" s="42"/>
      <c r="AB30" s="584">
        <v>46163</v>
      </c>
      <c r="AC30" s="68"/>
      <c r="AE30" s="337"/>
      <c r="AG30" s="763"/>
    </row>
    <row r="31" spans="1:35" ht="24.75" customHeight="1" thickTop="1" thickBot="1">
      <c r="A31" s="762">
        <v>10</v>
      </c>
      <c r="B31" s="762">
        <v>7</v>
      </c>
      <c r="C31" s="777"/>
      <c r="D31" s="764" t="s">
        <v>86</v>
      </c>
      <c r="E31" s="766" t="s">
        <v>65</v>
      </c>
      <c r="F31" s="767">
        <v>1000</v>
      </c>
      <c r="G31" s="57" t="s">
        <v>66</v>
      </c>
      <c r="H31" s="58"/>
      <c r="I31" s="18"/>
      <c r="J31" s="18"/>
      <c r="K31" s="18"/>
      <c r="L31" s="19"/>
      <c r="M31" s="59"/>
      <c r="N31" s="18"/>
      <c r="O31" s="18"/>
      <c r="P31" s="38"/>
      <c r="Q31" s="712"/>
      <c r="R31" s="503"/>
      <c r="S31" s="503"/>
      <c r="T31" s="781"/>
      <c r="U31" s="698"/>
      <c r="V31" s="690"/>
      <c r="W31" s="503"/>
      <c r="X31" s="509">
        <v>1000</v>
      </c>
      <c r="Y31" s="504"/>
      <c r="Z31" s="58"/>
      <c r="AA31" s="18"/>
      <c r="AB31" s="18"/>
      <c r="AC31" s="25"/>
      <c r="AE31" s="338"/>
      <c r="AG31" s="762">
        <v>10</v>
      </c>
    </row>
    <row r="32" spans="1:35" ht="24" customHeight="1" thickBot="1">
      <c r="A32" s="763"/>
      <c r="B32" s="763"/>
      <c r="C32" s="777"/>
      <c r="D32" s="770"/>
      <c r="E32" s="765"/>
      <c r="F32" s="768"/>
      <c r="G32" s="40" t="s">
        <v>68</v>
      </c>
      <c r="H32" s="62"/>
      <c r="I32" s="42"/>
      <c r="J32" s="42"/>
      <c r="K32" s="42"/>
      <c r="L32" s="43"/>
      <c r="M32" s="65"/>
      <c r="N32" s="63"/>
      <c r="O32" s="63"/>
      <c r="P32" s="46"/>
      <c r="Q32" s="711"/>
      <c r="R32" s="499"/>
      <c r="S32" s="499"/>
      <c r="T32" s="781"/>
      <c r="U32" s="697"/>
      <c r="V32" s="689"/>
      <c r="W32" s="507"/>
      <c r="X32" s="584">
        <v>46129</v>
      </c>
      <c r="Y32" s="500"/>
      <c r="Z32" s="62"/>
      <c r="AA32" s="42"/>
      <c r="AB32" s="42"/>
      <c r="AC32" s="68"/>
      <c r="AE32" s="337"/>
      <c r="AG32" s="763"/>
    </row>
    <row r="33" spans="1:33" ht="24.75" customHeight="1" thickTop="1" thickBot="1">
      <c r="A33" s="762">
        <v>11</v>
      </c>
      <c r="B33" s="762">
        <v>8</v>
      </c>
      <c r="C33" s="777"/>
      <c r="D33" s="764" t="s">
        <v>88</v>
      </c>
      <c r="E33" s="766" t="s">
        <v>73</v>
      </c>
      <c r="F33" s="767">
        <v>2000</v>
      </c>
      <c r="G33" s="57" t="s">
        <v>66</v>
      </c>
      <c r="H33" s="58"/>
      <c r="I33" s="18"/>
      <c r="J33" s="18"/>
      <c r="K33" s="18"/>
      <c r="L33" s="19"/>
      <c r="M33" s="59"/>
      <c r="N33" s="18"/>
      <c r="O33" s="18"/>
      <c r="P33" s="38"/>
      <c r="Q33" s="712"/>
      <c r="R33" s="503"/>
      <c r="S33" s="503"/>
      <c r="T33" s="781"/>
      <c r="U33" s="698"/>
      <c r="V33" s="690"/>
      <c r="W33" s="503"/>
      <c r="X33" s="503"/>
      <c r="Y33" s="509">
        <v>2000</v>
      </c>
      <c r="Z33" s="58"/>
      <c r="AA33" s="18"/>
      <c r="AB33" s="18"/>
      <c r="AC33" s="25"/>
      <c r="AE33" s="338"/>
      <c r="AG33" s="762">
        <v>11</v>
      </c>
    </row>
    <row r="34" spans="1:33" ht="24" customHeight="1" thickBot="1">
      <c r="A34" s="769"/>
      <c r="B34" s="769"/>
      <c r="C34" s="777"/>
      <c r="D34" s="766"/>
      <c r="E34" s="765"/>
      <c r="F34" s="768"/>
      <c r="G34" s="40" t="s">
        <v>68</v>
      </c>
      <c r="H34" s="62"/>
      <c r="I34" s="42"/>
      <c r="J34" s="42"/>
      <c r="K34" s="42"/>
      <c r="L34" s="43"/>
      <c r="M34" s="65"/>
      <c r="N34" s="63"/>
      <c r="O34" s="63"/>
      <c r="P34" s="46"/>
      <c r="Q34" s="711"/>
      <c r="R34" s="499"/>
      <c r="S34" s="499"/>
      <c r="T34" s="781"/>
      <c r="U34" s="697"/>
      <c r="V34" s="689"/>
      <c r="W34" s="507"/>
      <c r="X34" s="507"/>
      <c r="Y34" s="584">
        <v>46137</v>
      </c>
      <c r="Z34" s="62"/>
      <c r="AA34" s="42"/>
      <c r="AB34" s="42"/>
      <c r="AC34" s="68"/>
      <c r="AE34" s="337"/>
      <c r="AG34" s="763"/>
    </row>
    <row r="35" spans="1:33" ht="24.75" thickTop="1" thickBot="1">
      <c r="A35" s="769"/>
      <c r="B35" s="769"/>
      <c r="C35" s="777"/>
      <c r="D35" s="766"/>
      <c r="E35" s="771" t="s">
        <v>90</v>
      </c>
      <c r="F35" s="767">
        <v>5</v>
      </c>
      <c r="G35" s="57" t="s">
        <v>66</v>
      </c>
      <c r="H35" s="58"/>
      <c r="I35" s="18"/>
      <c r="J35" s="18"/>
      <c r="K35" s="18"/>
      <c r="L35" s="19"/>
      <c r="M35" s="59"/>
      <c r="N35" s="18"/>
      <c r="O35" s="18"/>
      <c r="P35" s="38"/>
      <c r="Q35" s="712"/>
      <c r="R35" s="503"/>
      <c r="S35" s="509">
        <v>5</v>
      </c>
      <c r="T35" s="781"/>
      <c r="U35" s="698"/>
      <c r="V35" s="690"/>
      <c r="W35" s="503"/>
      <c r="X35" s="503"/>
      <c r="Y35" s="504"/>
      <c r="Z35" s="58"/>
      <c r="AA35" s="18"/>
      <c r="AB35" s="18"/>
      <c r="AC35" s="25"/>
      <c r="AE35" s="338"/>
      <c r="AG35" s="78"/>
    </row>
    <row r="36" spans="1:33" ht="24" thickBot="1">
      <c r="A36" s="763"/>
      <c r="B36" s="763"/>
      <c r="C36" s="777"/>
      <c r="D36" s="770"/>
      <c r="E36" s="765"/>
      <c r="F36" s="768"/>
      <c r="G36" s="40" t="s">
        <v>68</v>
      </c>
      <c r="H36" s="62"/>
      <c r="I36" s="42"/>
      <c r="J36" s="42"/>
      <c r="K36" s="42"/>
      <c r="L36" s="43"/>
      <c r="M36" s="65"/>
      <c r="N36" s="63"/>
      <c r="O36" s="63"/>
      <c r="P36" s="46"/>
      <c r="Q36" s="711"/>
      <c r="R36" s="499"/>
      <c r="S36" s="514" t="s">
        <v>265</v>
      </c>
      <c r="T36" s="781"/>
      <c r="U36" s="697"/>
      <c r="V36" s="689"/>
      <c r="W36" s="507"/>
      <c r="X36" s="507"/>
      <c r="Y36" s="500"/>
      <c r="Z36" s="62"/>
      <c r="AA36" s="42"/>
      <c r="AB36" s="42"/>
      <c r="AC36" s="68"/>
      <c r="AE36" s="337"/>
      <c r="AG36" s="80"/>
    </row>
    <row r="37" spans="1:33" ht="24.75" customHeight="1" thickTop="1" thickBot="1">
      <c r="A37" s="762">
        <v>12</v>
      </c>
      <c r="B37" s="762">
        <v>9</v>
      </c>
      <c r="C37" s="777"/>
      <c r="D37" s="764" t="s">
        <v>91</v>
      </c>
      <c r="E37" s="766" t="s">
        <v>65</v>
      </c>
      <c r="F37" s="767">
        <v>2000</v>
      </c>
      <c r="G37" s="57" t="s">
        <v>66</v>
      </c>
      <c r="H37" s="58"/>
      <c r="I37" s="18"/>
      <c r="J37" s="18"/>
      <c r="K37" s="18"/>
      <c r="L37" s="19"/>
      <c r="M37" s="59"/>
      <c r="N37" s="18"/>
      <c r="O37" s="18"/>
      <c r="P37" s="38"/>
      <c r="Q37" s="712"/>
      <c r="R37" s="503"/>
      <c r="S37" s="503"/>
      <c r="T37" s="781"/>
      <c r="U37" s="698"/>
      <c r="V37" s="690"/>
      <c r="W37" s="503"/>
      <c r="X37" s="503"/>
      <c r="Y37" s="504"/>
      <c r="Z37" s="494">
        <v>720</v>
      </c>
      <c r="AA37" s="674">
        <v>1280</v>
      </c>
      <c r="AB37" s="18"/>
      <c r="AC37" s="25"/>
      <c r="AE37" s="338"/>
      <c r="AG37" s="762">
        <v>12</v>
      </c>
    </row>
    <row r="38" spans="1:33" ht="24" customHeight="1" thickBot="1">
      <c r="A38" s="763"/>
      <c r="B38" s="763"/>
      <c r="C38" s="777"/>
      <c r="D38" s="765"/>
      <c r="E38" s="765"/>
      <c r="F38" s="768"/>
      <c r="G38" s="40" t="s">
        <v>68</v>
      </c>
      <c r="H38" s="62"/>
      <c r="I38" s="42"/>
      <c r="J38" s="42"/>
      <c r="K38" s="42"/>
      <c r="L38" s="43"/>
      <c r="M38" s="65"/>
      <c r="N38" s="63"/>
      <c r="O38" s="63"/>
      <c r="P38" s="46"/>
      <c r="Q38" s="711"/>
      <c r="R38" s="499"/>
      <c r="S38" s="499"/>
      <c r="T38" s="781"/>
      <c r="U38" s="697"/>
      <c r="V38" s="689"/>
      <c r="W38" s="507"/>
      <c r="X38" s="507"/>
      <c r="Y38" s="500"/>
      <c r="Z38" s="583">
        <v>46144</v>
      </c>
      <c r="AA38" s="584">
        <v>46150</v>
      </c>
      <c r="AB38" s="42"/>
      <c r="AC38" s="68"/>
      <c r="AE38" s="337"/>
      <c r="AG38" s="763"/>
    </row>
    <row r="39" spans="1:33" ht="24.75" customHeight="1" thickTop="1" thickBot="1">
      <c r="A39" s="762">
        <v>13</v>
      </c>
      <c r="B39" s="762">
        <v>10</v>
      </c>
      <c r="C39" s="777"/>
      <c r="D39" s="764" t="s">
        <v>92</v>
      </c>
      <c r="E39" s="766" t="s">
        <v>65</v>
      </c>
      <c r="F39" s="767">
        <v>1000</v>
      </c>
      <c r="G39" s="57" t="s">
        <v>66</v>
      </c>
      <c r="H39" s="58"/>
      <c r="I39" s="18"/>
      <c r="J39" s="18"/>
      <c r="K39" s="18"/>
      <c r="L39" s="19"/>
      <c r="M39" s="59"/>
      <c r="N39" s="18"/>
      <c r="O39" s="18"/>
      <c r="P39" s="38"/>
      <c r="Q39" s="712"/>
      <c r="R39" s="503"/>
      <c r="S39" s="503"/>
      <c r="T39" s="781"/>
      <c r="U39" s="698"/>
      <c r="V39" s="690"/>
      <c r="W39" s="503"/>
      <c r="X39" s="503"/>
      <c r="Y39" s="504"/>
      <c r="Z39" s="58"/>
      <c r="AA39" s="674">
        <v>1000</v>
      </c>
      <c r="AB39" s="503"/>
      <c r="AC39" s="25"/>
      <c r="AE39" s="338"/>
      <c r="AG39" s="762">
        <v>13</v>
      </c>
    </row>
    <row r="40" spans="1:33" ht="24" customHeight="1" thickBot="1">
      <c r="A40" s="763"/>
      <c r="B40" s="763"/>
      <c r="C40" s="778"/>
      <c r="D40" s="765"/>
      <c r="E40" s="765"/>
      <c r="F40" s="768"/>
      <c r="G40" s="40" t="s">
        <v>68</v>
      </c>
      <c r="H40" s="62"/>
      <c r="I40" s="81"/>
      <c r="J40" s="81"/>
      <c r="K40" s="81"/>
      <c r="L40" s="82"/>
      <c r="M40" s="62"/>
      <c r="N40" s="83"/>
      <c r="O40" s="83"/>
      <c r="P40" s="687"/>
      <c r="Q40" s="715"/>
      <c r="R40" s="516"/>
      <c r="S40" s="516"/>
      <c r="T40" s="781"/>
      <c r="U40" s="697"/>
      <c r="V40" s="689"/>
      <c r="W40" s="507"/>
      <c r="X40" s="507"/>
      <c r="Y40" s="500"/>
      <c r="Z40" s="62"/>
      <c r="AA40" s="584">
        <v>46154</v>
      </c>
      <c r="AB40" s="507"/>
      <c r="AC40" s="68"/>
      <c r="AD40" s="69"/>
      <c r="AE40" s="337"/>
      <c r="AG40" s="763"/>
    </row>
    <row r="41" spans="1:33" ht="51" hidden="1" customHeight="1" thickBot="1">
      <c r="A41" s="791">
        <v>16900</v>
      </c>
      <c r="B41" s="792"/>
      <c r="C41" s="795" t="s">
        <v>189</v>
      </c>
      <c r="D41" s="796"/>
      <c r="E41" s="796"/>
      <c r="F41" s="797"/>
      <c r="G41" s="234" t="s">
        <v>190</v>
      </c>
      <c r="H41" s="231"/>
      <c r="I41" s="124"/>
      <c r="J41" s="124"/>
      <c r="K41" s="124"/>
      <c r="L41" s="232"/>
      <c r="M41" s="801" t="s">
        <v>110</v>
      </c>
      <c r="N41" s="803" t="s">
        <v>110</v>
      </c>
      <c r="O41" s="235">
        <v>3</v>
      </c>
      <c r="P41" s="236">
        <v>5</v>
      </c>
      <c r="Q41" s="237">
        <v>6</v>
      </c>
      <c r="R41" s="235">
        <v>6</v>
      </c>
      <c r="S41" s="235">
        <v>2</v>
      </c>
      <c r="T41" s="781"/>
      <c r="U41" s="701">
        <v>4</v>
      </c>
      <c r="V41" s="693">
        <v>4</v>
      </c>
      <c r="W41" s="243">
        <v>5</v>
      </c>
      <c r="X41" s="243">
        <v>6</v>
      </c>
      <c r="Y41" s="241">
        <v>6</v>
      </c>
      <c r="Z41" s="242">
        <v>6</v>
      </c>
      <c r="AA41" s="243">
        <v>6</v>
      </c>
      <c r="AB41" s="243">
        <v>6</v>
      </c>
      <c r="AC41" s="241"/>
      <c r="AD41" s="69"/>
      <c r="AE41" s="339">
        <f>SUM(O41:S41,U41:AC41)</f>
        <v>65</v>
      </c>
      <c r="AG41" s="671"/>
    </row>
    <row r="42" spans="1:33" ht="32.25" hidden="1" customHeight="1" thickBot="1">
      <c r="A42" s="793"/>
      <c r="B42" s="794"/>
      <c r="C42" s="798"/>
      <c r="D42" s="799"/>
      <c r="E42" s="799"/>
      <c r="F42" s="800"/>
      <c r="G42" s="233" t="s">
        <v>191</v>
      </c>
      <c r="H42" s="62"/>
      <c r="I42" s="81"/>
      <c r="J42" s="81"/>
      <c r="K42" s="81"/>
      <c r="L42" s="82"/>
      <c r="M42" s="802"/>
      <c r="N42" s="804"/>
      <c r="O42" s="238">
        <f>54000000/A41</f>
        <v>3195.2662721893489</v>
      </c>
      <c r="P42" s="239">
        <f>(P41*'[7]Man Power'!$U$43)/'Valterra 03 March'!$A$41</f>
        <v>5520.8872781065093</v>
      </c>
      <c r="Q42" s="240">
        <f>(Q41*'[7]Man Power'!$U$43)/'Valterra 03 March'!$A$41</f>
        <v>6625.0647337278106</v>
      </c>
      <c r="R42" s="238">
        <f>(R41*'[7]Man Power'!$U$43)/'Valterra 03 March'!$A$41</f>
        <v>6625.0647337278106</v>
      </c>
      <c r="S42" s="238">
        <f>(S41*'[7]Man Power'!$U$43)/'Valterra 03 March'!$A$41</f>
        <v>2208.3549112426035</v>
      </c>
      <c r="T42" s="782"/>
      <c r="U42" s="702">
        <f>(U41*'[7]Man Power'!$U$43)/'Valterra 03 March'!$A$41</f>
        <v>4416.709822485207</v>
      </c>
      <c r="V42" s="694">
        <f>(V41*'[7]Man Power'!$U$43)/'Valterra 03 March'!$A$41</f>
        <v>4416.709822485207</v>
      </c>
      <c r="W42" s="244">
        <f>(W41*'[7]Man Power'!$U$43)/'Valterra 03 March'!$A$41</f>
        <v>5520.8872781065093</v>
      </c>
      <c r="X42" s="244">
        <f>(X41*'[7]Man Power'!$U$43)/'Valterra 03 March'!$A$41</f>
        <v>6625.0647337278106</v>
      </c>
      <c r="Y42" s="239">
        <f>(Y41*'[7]Man Power'!$U$43)/'Valterra 03 March'!$A$41</f>
        <v>6625.0647337278106</v>
      </c>
      <c r="Z42" s="240">
        <f>(Z41*'[7]Man Power'!$U$43)/'Valterra 03 March'!$A$41</f>
        <v>6625.0647337278106</v>
      </c>
      <c r="AA42" s="244">
        <f>(AA41*'[7]Man Power'!$U$43)/'Valterra 03 March'!$A$41</f>
        <v>6625.0647337278106</v>
      </c>
      <c r="AB42" s="244">
        <f>(AB41*'[7]Man Power'!$U$43)/'Valterra 03 March'!$A$41</f>
        <v>6625.0647337278106</v>
      </c>
      <c r="AC42" s="239">
        <f>(AC41*'[7]Man Power'!$U$43)/'Valterra 03 March'!$A$41</f>
        <v>0</v>
      </c>
      <c r="AD42" s="672"/>
      <c r="AE42" s="340">
        <f>SUM(O42:S42,U42:AC42)</f>
        <v>71654.268520710073</v>
      </c>
      <c r="AF42" s="469"/>
      <c r="AG42" s="669"/>
    </row>
    <row r="43" spans="1:33" ht="9.75" hidden="1" customHeight="1" thickBot="1">
      <c r="AE43" s="85"/>
      <c r="AF43" s="85"/>
    </row>
    <row r="44" spans="1:33" s="85" customFormat="1" ht="19.5" hidden="1" customHeight="1" thickBot="1">
      <c r="B44" s="805" t="s">
        <v>93</v>
      </c>
      <c r="C44" s="806"/>
      <c r="D44" s="488"/>
      <c r="E44" s="809" t="s">
        <v>94</v>
      </c>
      <c r="F44" s="811" t="s">
        <v>95</v>
      </c>
      <c r="G44" s="811"/>
      <c r="H44" s="811"/>
      <c r="I44" s="811"/>
      <c r="J44" s="787" t="s">
        <v>96</v>
      </c>
      <c r="K44" s="788"/>
      <c r="L44" s="788"/>
      <c r="M44" s="788"/>
      <c r="N44" s="812"/>
      <c r="X44" s="787" t="s">
        <v>96</v>
      </c>
      <c r="Y44" s="788"/>
      <c r="AB44" s="787" t="s">
        <v>96</v>
      </c>
      <c r="AC44" s="788"/>
      <c r="AD44" s="86"/>
      <c r="AE44"/>
      <c r="AF44"/>
    </row>
    <row r="45" spans="1:33" s="85" customFormat="1" ht="22.5" hidden="1" customHeight="1" thickBot="1">
      <c r="B45" s="807"/>
      <c r="C45" s="808"/>
      <c r="D45" s="87"/>
      <c r="E45" s="810"/>
      <c r="F45" s="88" t="s">
        <v>97</v>
      </c>
      <c r="G45" s="88"/>
      <c r="H45" s="88" t="s">
        <v>98</v>
      </c>
      <c r="I45" s="88" t="s">
        <v>99</v>
      </c>
      <c r="J45" s="88" t="s">
        <v>97</v>
      </c>
      <c r="K45" s="88" t="s">
        <v>97</v>
      </c>
      <c r="L45" s="88"/>
      <c r="M45" s="88" t="s">
        <v>98</v>
      </c>
      <c r="N45" s="88" t="s">
        <v>99</v>
      </c>
      <c r="V45" s="88" t="s">
        <v>98</v>
      </c>
      <c r="W45" s="88" t="s">
        <v>99</v>
      </c>
      <c r="X45" s="88" t="s">
        <v>97</v>
      </c>
      <c r="Y45" s="88" t="s">
        <v>100</v>
      </c>
      <c r="Z45" s="88" t="s">
        <v>98</v>
      </c>
      <c r="AA45" s="88" t="s">
        <v>99</v>
      </c>
      <c r="AB45" s="88" t="s">
        <v>97</v>
      </c>
      <c r="AC45" s="88" t="s">
        <v>100</v>
      </c>
      <c r="AD45" s="86"/>
      <c r="AE45"/>
      <c r="AF45"/>
    </row>
    <row r="46" spans="1:33" hidden="1">
      <c r="B46" s="89" t="s">
        <v>101</v>
      </c>
      <c r="C46" s="90"/>
      <c r="D46" s="91"/>
      <c r="E46" s="92"/>
      <c r="F46" s="93"/>
      <c r="G46" s="93"/>
      <c r="H46" s="93"/>
      <c r="I46" s="93"/>
      <c r="J46" s="93"/>
      <c r="K46" s="93"/>
      <c r="L46" s="93"/>
      <c r="M46" s="93"/>
      <c r="N46" s="94"/>
      <c r="O46" s="95"/>
      <c r="V46" s="93"/>
      <c r="W46" s="93"/>
      <c r="X46" s="93"/>
      <c r="Y46" s="94"/>
      <c r="Z46" s="93"/>
      <c r="AA46" s="93"/>
      <c r="AB46" s="93"/>
      <c r="AC46" s="94"/>
      <c r="AE46" s="96"/>
      <c r="AF46" s="96"/>
    </row>
    <row r="47" spans="1:33" hidden="1">
      <c r="B47" s="97"/>
      <c r="C47" s="98" t="s">
        <v>102</v>
      </c>
      <c r="D47" s="99"/>
      <c r="E47" s="100" t="s">
        <v>103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2"/>
      <c r="V47" s="101"/>
      <c r="W47" s="101"/>
      <c r="X47" s="101"/>
      <c r="Y47" s="101"/>
      <c r="Z47" s="101"/>
      <c r="AA47" s="101"/>
      <c r="AB47" s="101"/>
      <c r="AC47" s="101"/>
      <c r="AD47" s="103"/>
    </row>
    <row r="48" spans="1:33" hidden="1">
      <c r="B48" s="97"/>
      <c r="C48" s="98" t="s">
        <v>104</v>
      </c>
      <c r="D48" s="99"/>
      <c r="E48" s="100">
        <v>17</v>
      </c>
      <c r="F48" s="104"/>
      <c r="G48" s="105"/>
      <c r="H48" s="106"/>
      <c r="I48" s="104"/>
      <c r="J48" s="101"/>
      <c r="K48" s="101"/>
      <c r="L48" s="101"/>
      <c r="M48" s="101"/>
      <c r="N48" s="106"/>
      <c r="O48" s="107" t="e">
        <f>#REF!*O47</f>
        <v>#REF!</v>
      </c>
      <c r="V48" s="106"/>
      <c r="W48" s="104"/>
      <c r="X48" s="101"/>
      <c r="Y48" s="101"/>
      <c r="Z48" s="106"/>
      <c r="AA48" s="104"/>
      <c r="AB48" s="101"/>
      <c r="AC48" s="101"/>
      <c r="AD48" s="103"/>
    </row>
    <row r="49" spans="1:35" hidden="1">
      <c r="B49" s="108"/>
      <c r="C49" s="98" t="s">
        <v>105</v>
      </c>
      <c r="D49" s="99"/>
      <c r="E49" s="100" t="s">
        <v>103</v>
      </c>
      <c r="F49" s="105"/>
      <c r="G49" s="105"/>
      <c r="H49" s="105"/>
      <c r="I49" s="105"/>
      <c r="J49" s="105"/>
      <c r="K49" s="105"/>
      <c r="L49" s="105"/>
      <c r="M49" s="106"/>
      <c r="N49" s="106"/>
      <c r="V49" s="105"/>
      <c r="W49" s="105"/>
      <c r="X49" s="105"/>
      <c r="Y49" s="106"/>
      <c r="Z49" s="105"/>
      <c r="AA49" s="105"/>
      <c r="AB49" s="105"/>
      <c r="AC49" s="106"/>
    </row>
    <row r="50" spans="1:35" s="96" customFormat="1" ht="21" hidden="1" thickBot="1">
      <c r="B50" s="109"/>
      <c r="C50" s="110" t="s">
        <v>106</v>
      </c>
      <c r="D50" s="111"/>
      <c r="E50" s="112"/>
      <c r="F50" s="113"/>
      <c r="G50" s="113"/>
      <c r="H50" s="113"/>
      <c r="I50" s="114">
        <v>150</v>
      </c>
      <c r="J50" s="115">
        <v>540</v>
      </c>
      <c r="K50" s="115">
        <v>540</v>
      </c>
      <c r="L50" s="115"/>
      <c r="M50" s="116">
        <v>390</v>
      </c>
      <c r="N50" s="116">
        <v>420</v>
      </c>
      <c r="V50" s="113"/>
      <c r="W50" s="114">
        <v>150</v>
      </c>
      <c r="X50" s="115">
        <v>540</v>
      </c>
      <c r="Y50" s="117"/>
      <c r="Z50" s="113"/>
      <c r="AA50" s="114">
        <v>150</v>
      </c>
      <c r="AB50" s="115">
        <v>540</v>
      </c>
      <c r="AC50" s="117"/>
      <c r="AE50"/>
      <c r="AF50"/>
    </row>
    <row r="51" spans="1:35" hidden="1">
      <c r="B51" t="s">
        <v>107</v>
      </c>
    </row>
    <row r="52" spans="1:35" ht="21" hidden="1" thickBot="1"/>
    <row r="53" spans="1:35" s="9" customFormat="1" ht="23.25" hidden="1">
      <c r="A53" s="789" t="s">
        <v>34</v>
      </c>
      <c r="B53" s="783" t="s">
        <v>3</v>
      </c>
      <c r="C53" s="785" t="s">
        <v>188</v>
      </c>
      <c r="D53" s="785" t="s">
        <v>35</v>
      </c>
      <c r="E53" s="785" t="s">
        <v>4</v>
      </c>
      <c r="F53" s="785" t="s">
        <v>36</v>
      </c>
      <c r="G53" s="48" t="s">
        <v>37</v>
      </c>
      <c r="H53" s="772">
        <v>46023</v>
      </c>
      <c r="I53" s="773"/>
      <c r="J53" s="773"/>
      <c r="K53" s="773"/>
      <c r="L53" s="773"/>
      <c r="M53" s="772" t="s">
        <v>38</v>
      </c>
      <c r="N53" s="773"/>
      <c r="O53" s="773"/>
      <c r="P53" s="774"/>
      <c r="Q53" s="772" t="s">
        <v>39</v>
      </c>
      <c r="R53" s="773"/>
      <c r="S53" s="773"/>
      <c r="T53" s="773"/>
      <c r="U53" s="774"/>
      <c r="V53" s="772">
        <v>46113</v>
      </c>
      <c r="W53" s="773"/>
      <c r="X53" s="773"/>
      <c r="Y53" s="774"/>
      <c r="Z53" s="772">
        <v>46143</v>
      </c>
      <c r="AA53" s="773"/>
      <c r="AB53" s="773"/>
      <c r="AC53" s="774"/>
      <c r="AD53" s="49"/>
      <c r="AE53" s="3"/>
      <c r="AF53" s="3"/>
      <c r="AG53"/>
    </row>
    <row r="54" spans="1:35" s="9" customFormat="1" ht="24" hidden="1" thickBot="1">
      <c r="A54" s="790"/>
      <c r="B54" s="784"/>
      <c r="C54" s="786"/>
      <c r="D54" s="786"/>
      <c r="E54" s="786"/>
      <c r="F54" s="786"/>
      <c r="G54" s="50" t="s">
        <v>40</v>
      </c>
      <c r="H54" s="51" t="s">
        <v>41</v>
      </c>
      <c r="I54" s="11" t="s">
        <v>42</v>
      </c>
      <c r="J54" s="52" t="s">
        <v>43</v>
      </c>
      <c r="K54" s="11" t="s">
        <v>44</v>
      </c>
      <c r="L54" s="53" t="s">
        <v>45</v>
      </c>
      <c r="M54" s="54" t="s">
        <v>46</v>
      </c>
      <c r="N54" s="10" t="s">
        <v>47</v>
      </c>
      <c r="O54" s="11" t="s">
        <v>48</v>
      </c>
      <c r="P54" s="55" t="s">
        <v>49</v>
      </c>
      <c r="Q54" s="54" t="s">
        <v>50</v>
      </c>
      <c r="R54" s="10" t="s">
        <v>51</v>
      </c>
      <c r="S54" s="10" t="s">
        <v>52</v>
      </c>
      <c r="T54" s="56" t="s">
        <v>53</v>
      </c>
      <c r="U54" s="11" t="s">
        <v>54</v>
      </c>
      <c r="V54" s="51" t="s">
        <v>55</v>
      </c>
      <c r="W54" s="11" t="s">
        <v>56</v>
      </c>
      <c r="X54" s="10" t="s">
        <v>57</v>
      </c>
      <c r="Y54" s="13" t="s">
        <v>58</v>
      </c>
      <c r="Z54" s="51" t="s">
        <v>59</v>
      </c>
      <c r="AA54" s="11" t="s">
        <v>60</v>
      </c>
      <c r="AB54" s="10" t="s">
        <v>61</v>
      </c>
      <c r="AC54" s="13" t="s">
        <v>62</v>
      </c>
      <c r="AD54" s="14"/>
      <c r="AE54" s="3"/>
      <c r="AF54" s="3"/>
      <c r="AG54"/>
    </row>
    <row r="55" spans="1:35" s="3" customFormat="1" ht="25.15" hidden="1" customHeight="1" thickTop="1" thickBot="1">
      <c r="A55" s="775">
        <v>5</v>
      </c>
      <c r="B55" s="775">
        <v>1</v>
      </c>
      <c r="C55" s="776" t="s">
        <v>63</v>
      </c>
      <c r="D55" s="764" t="s">
        <v>64</v>
      </c>
      <c r="E55" s="764" t="s">
        <v>65</v>
      </c>
      <c r="F55" s="779">
        <v>1000</v>
      </c>
      <c r="G55" s="57" t="s">
        <v>66</v>
      </c>
      <c r="H55" s="58"/>
      <c r="I55" s="18"/>
      <c r="J55" s="18"/>
      <c r="K55" s="18"/>
      <c r="L55" s="19"/>
      <c r="M55" s="59"/>
      <c r="N55" s="60">
        <v>540</v>
      </c>
      <c r="O55" s="60">
        <v>460</v>
      </c>
      <c r="P55" s="25"/>
      <c r="Q55" s="59"/>
      <c r="R55" s="18"/>
      <c r="S55" s="18"/>
      <c r="T55" s="780" t="s">
        <v>67</v>
      </c>
      <c r="U55" s="25"/>
      <c r="V55" s="58"/>
      <c r="W55" s="18"/>
      <c r="X55" s="18"/>
      <c r="Y55" s="25"/>
      <c r="Z55" s="58"/>
      <c r="AA55" s="18"/>
      <c r="AB55" s="18"/>
      <c r="AC55" s="25"/>
      <c r="AD55" s="61"/>
      <c r="AE55"/>
      <c r="AF55"/>
      <c r="AG55" s="775">
        <v>5</v>
      </c>
    </row>
    <row r="56" spans="1:35" s="3" customFormat="1" ht="25.15" hidden="1" customHeight="1" thickBot="1">
      <c r="A56" s="763"/>
      <c r="B56" s="763"/>
      <c r="C56" s="777"/>
      <c r="D56" s="770"/>
      <c r="E56" s="765"/>
      <c r="F56" s="768"/>
      <c r="G56" s="40" t="s">
        <v>68</v>
      </c>
      <c r="H56" s="62"/>
      <c r="I56" s="63"/>
      <c r="J56" s="63"/>
      <c r="K56" s="63"/>
      <c r="L56" s="64"/>
      <c r="M56" s="65"/>
      <c r="N56" s="76" t="s">
        <v>81</v>
      </c>
      <c r="O56" s="76" t="s">
        <v>87</v>
      </c>
      <c r="P56" s="68"/>
      <c r="Q56" s="65"/>
      <c r="R56" s="63"/>
      <c r="S56" s="63"/>
      <c r="T56" s="781"/>
      <c r="U56" s="68"/>
      <c r="V56" s="62"/>
      <c r="W56" s="63"/>
      <c r="X56" s="63"/>
      <c r="Y56" s="68"/>
      <c r="Z56" s="62"/>
      <c r="AA56" s="63"/>
      <c r="AB56" s="63"/>
      <c r="AC56" s="68"/>
      <c r="AD56" s="69"/>
      <c r="AE56"/>
      <c r="AF56"/>
      <c r="AG56" s="763"/>
      <c r="AH56">
        <v>150</v>
      </c>
      <c r="AI56" s="37">
        <v>45961</v>
      </c>
    </row>
    <row r="57" spans="1:35" ht="24.75" hidden="1" thickTop="1" thickBot="1">
      <c r="A57" s="762">
        <v>6</v>
      </c>
      <c r="B57" s="762">
        <v>2</v>
      </c>
      <c r="C57" s="777"/>
      <c r="D57" s="764" t="s">
        <v>72</v>
      </c>
      <c r="E57" s="766" t="s">
        <v>73</v>
      </c>
      <c r="F57" s="767">
        <v>1000</v>
      </c>
      <c r="G57" s="57" t="s">
        <v>66</v>
      </c>
      <c r="H57" s="58"/>
      <c r="I57" s="18"/>
      <c r="J57" s="60">
        <v>30</v>
      </c>
      <c r="K57" s="60">
        <v>90</v>
      </c>
      <c r="L57" s="19"/>
      <c r="M57" s="70">
        <v>420</v>
      </c>
      <c r="N57" s="60">
        <v>450</v>
      </c>
      <c r="O57" s="60">
        <v>10</v>
      </c>
      <c r="P57" s="25"/>
      <c r="Q57" s="59"/>
      <c r="R57" s="18"/>
      <c r="S57" s="18"/>
      <c r="T57" s="781"/>
      <c r="U57" s="25"/>
      <c r="V57" s="58"/>
      <c r="W57" s="18"/>
      <c r="X57" s="18"/>
      <c r="Y57" s="25"/>
      <c r="Z57" s="58"/>
      <c r="AA57" s="18"/>
      <c r="AB57" s="18"/>
      <c r="AC57" s="25"/>
      <c r="AD57" s="61"/>
      <c r="AG57" s="762">
        <v>6</v>
      </c>
    </row>
    <row r="58" spans="1:35" ht="24" hidden="1" thickBot="1">
      <c r="A58" s="763"/>
      <c r="B58" s="763"/>
      <c r="C58" s="777"/>
      <c r="D58" s="765"/>
      <c r="E58" s="765"/>
      <c r="F58" s="768"/>
      <c r="G58" s="40" t="s">
        <v>68</v>
      </c>
      <c r="H58" s="62"/>
      <c r="I58" s="42"/>
      <c r="J58" s="66" t="s">
        <v>74</v>
      </c>
      <c r="K58" s="66" t="s">
        <v>75</v>
      </c>
      <c r="L58" s="43"/>
      <c r="M58" s="71" t="s">
        <v>76</v>
      </c>
      <c r="N58" s="76" t="s">
        <v>81</v>
      </c>
      <c r="O58" s="76" t="s">
        <v>87</v>
      </c>
      <c r="P58" s="68"/>
      <c r="Q58" s="65"/>
      <c r="R58" s="63"/>
      <c r="S58" s="63"/>
      <c r="T58" s="781"/>
      <c r="U58" s="68"/>
      <c r="V58" s="62"/>
      <c r="W58" s="42"/>
      <c r="X58" s="42"/>
      <c r="Y58" s="68"/>
      <c r="Z58" s="62"/>
      <c r="AA58" s="42"/>
      <c r="AB58" s="42"/>
      <c r="AC58" s="68"/>
      <c r="AD58" s="69"/>
      <c r="AG58" s="763"/>
    </row>
    <row r="59" spans="1:35" ht="24.75" hidden="1" thickTop="1" thickBot="1">
      <c r="A59" s="762">
        <v>7</v>
      </c>
      <c r="B59" s="762">
        <v>3</v>
      </c>
      <c r="C59" s="777"/>
      <c r="D59" s="764" t="s">
        <v>78</v>
      </c>
      <c r="E59" s="766" t="s">
        <v>65</v>
      </c>
      <c r="F59" s="767">
        <v>1000</v>
      </c>
      <c r="G59" s="57" t="s">
        <v>66</v>
      </c>
      <c r="H59" s="58"/>
      <c r="I59" s="18"/>
      <c r="J59" s="18"/>
      <c r="K59" s="18"/>
      <c r="L59" s="19"/>
      <c r="M59" s="59"/>
      <c r="N59" s="18"/>
      <c r="O59" s="18"/>
      <c r="P59" s="72">
        <v>720</v>
      </c>
      <c r="Q59" s="70">
        <v>280</v>
      </c>
      <c r="R59" s="18"/>
      <c r="S59" s="18"/>
      <c r="T59" s="781"/>
      <c r="U59" s="25"/>
      <c r="V59" s="58"/>
      <c r="W59" s="18"/>
      <c r="X59" s="18"/>
      <c r="Y59" s="25"/>
      <c r="Z59" s="58"/>
      <c r="AA59" s="18"/>
      <c r="AB59" s="18"/>
      <c r="AC59" s="25"/>
      <c r="AD59" s="61"/>
      <c r="AG59" s="762">
        <v>7</v>
      </c>
    </row>
    <row r="60" spans="1:35" ht="24" hidden="1" thickBot="1">
      <c r="A60" s="763"/>
      <c r="B60" s="763"/>
      <c r="C60" s="777"/>
      <c r="D60" s="765"/>
      <c r="E60" s="765"/>
      <c r="F60" s="768"/>
      <c r="G60" s="40" t="s">
        <v>68</v>
      </c>
      <c r="H60" s="62"/>
      <c r="I60" s="42"/>
      <c r="J60" s="42"/>
      <c r="K60" s="42"/>
      <c r="L60" s="43"/>
      <c r="M60" s="65"/>
      <c r="N60" s="63"/>
      <c r="O60" s="63"/>
      <c r="P60" s="67" t="s">
        <v>71</v>
      </c>
      <c r="Q60" s="73" t="s">
        <v>79</v>
      </c>
      <c r="R60" s="63"/>
      <c r="S60" s="63"/>
      <c r="T60" s="781"/>
      <c r="U60" s="68"/>
      <c r="V60" s="62"/>
      <c r="W60" s="42"/>
      <c r="X60" s="42"/>
      <c r="Y60" s="68"/>
      <c r="Z60" s="62"/>
      <c r="AA60" s="42"/>
      <c r="AB60" s="42"/>
      <c r="AC60" s="68"/>
      <c r="AD60" s="69"/>
      <c r="AG60" s="763"/>
    </row>
    <row r="61" spans="1:35" ht="24.75" hidden="1" thickTop="1" thickBot="1">
      <c r="A61" s="762">
        <v>8</v>
      </c>
      <c r="B61" s="762">
        <v>4</v>
      </c>
      <c r="C61" s="777"/>
      <c r="D61" s="764" t="s">
        <v>80</v>
      </c>
      <c r="E61" s="766" t="s">
        <v>73</v>
      </c>
      <c r="F61" s="767">
        <v>4000</v>
      </c>
      <c r="G61" s="57" t="s">
        <v>66</v>
      </c>
      <c r="H61" s="58"/>
      <c r="I61" s="18"/>
      <c r="J61" s="18"/>
      <c r="K61" s="18"/>
      <c r="L61" s="19"/>
      <c r="M61" s="59"/>
      <c r="N61" s="18"/>
      <c r="O61" s="60">
        <v>500</v>
      </c>
      <c r="P61" s="25"/>
      <c r="Q61" s="59"/>
      <c r="R61" s="60">
        <v>1260</v>
      </c>
      <c r="S61" s="18"/>
      <c r="T61" s="781"/>
      <c r="U61" s="72">
        <v>240</v>
      </c>
      <c r="V61" s="70">
        <v>2000</v>
      </c>
      <c r="W61" s="18"/>
      <c r="X61" s="18"/>
      <c r="Y61" s="25"/>
      <c r="Z61" s="58"/>
      <c r="AA61" s="18"/>
      <c r="AB61" s="18"/>
      <c r="AC61" s="25"/>
      <c r="AD61" s="61"/>
      <c r="AG61" s="74">
        <v>8</v>
      </c>
    </row>
    <row r="62" spans="1:35" ht="24" hidden="1" thickBot="1">
      <c r="A62" s="769"/>
      <c r="B62" s="769"/>
      <c r="C62" s="777"/>
      <c r="D62" s="770"/>
      <c r="E62" s="765"/>
      <c r="F62" s="768"/>
      <c r="G62" s="40" t="s">
        <v>68</v>
      </c>
      <c r="H62" s="62"/>
      <c r="I62" s="42"/>
      <c r="J62" s="42"/>
      <c r="K62" s="42"/>
      <c r="L62" s="43"/>
      <c r="M62" s="65"/>
      <c r="N62" s="63"/>
      <c r="O62" s="76" t="s">
        <v>87</v>
      </c>
      <c r="P62" s="45"/>
      <c r="Q62" s="75"/>
      <c r="R62" s="76" t="s">
        <v>81</v>
      </c>
      <c r="S62" s="63"/>
      <c r="T62" s="781"/>
      <c r="U62" s="67" t="s">
        <v>82</v>
      </c>
      <c r="V62" s="77" t="s">
        <v>79</v>
      </c>
      <c r="W62" s="42"/>
      <c r="X62" s="42"/>
      <c r="Y62" s="68"/>
      <c r="Z62" s="62"/>
      <c r="AA62" s="42"/>
      <c r="AB62" s="42"/>
      <c r="AC62" s="68"/>
      <c r="AD62" s="69"/>
      <c r="AG62" s="78"/>
    </row>
    <row r="63" spans="1:35" ht="24.75" hidden="1" thickTop="1" thickBot="1">
      <c r="A63" s="762">
        <v>9</v>
      </c>
      <c r="B63" s="762">
        <v>5</v>
      </c>
      <c r="C63" s="777"/>
      <c r="D63" s="764" t="s">
        <v>83</v>
      </c>
      <c r="E63" s="766" t="s">
        <v>65</v>
      </c>
      <c r="F63" s="767">
        <v>1000</v>
      </c>
      <c r="G63" s="57" t="s">
        <v>66</v>
      </c>
      <c r="H63" s="58"/>
      <c r="I63" s="18"/>
      <c r="J63" s="18"/>
      <c r="K63" s="18"/>
      <c r="L63" s="19"/>
      <c r="M63" s="59"/>
      <c r="N63" s="18"/>
      <c r="O63" s="18"/>
      <c r="P63" s="25"/>
      <c r="Q63" s="79"/>
      <c r="R63" s="18"/>
      <c r="S63" s="18"/>
      <c r="T63" s="781"/>
      <c r="U63" s="72">
        <v>1000</v>
      </c>
      <c r="V63" s="58"/>
      <c r="W63" s="18"/>
      <c r="X63" s="18"/>
      <c r="Y63" s="25"/>
      <c r="Z63" s="58"/>
      <c r="AA63" s="18"/>
      <c r="AB63" s="18"/>
      <c r="AC63" s="25"/>
      <c r="AD63" s="61"/>
      <c r="AG63" s="762">
        <v>9</v>
      </c>
    </row>
    <row r="64" spans="1:35" ht="24" hidden="1" thickBot="1">
      <c r="A64" s="763"/>
      <c r="B64" s="763"/>
      <c r="C64" s="777"/>
      <c r="D64" s="765"/>
      <c r="E64" s="765"/>
      <c r="F64" s="768"/>
      <c r="G64" s="40" t="s">
        <v>68</v>
      </c>
      <c r="H64" s="62"/>
      <c r="I64" s="42"/>
      <c r="J64" s="42"/>
      <c r="K64" s="42"/>
      <c r="L64" s="43"/>
      <c r="M64" s="65"/>
      <c r="N64" s="63"/>
      <c r="O64" s="63"/>
      <c r="P64" s="45"/>
      <c r="Q64" s="75"/>
      <c r="R64" s="63"/>
      <c r="S64" s="63"/>
      <c r="T64" s="781"/>
      <c r="U64" s="67" t="s">
        <v>82</v>
      </c>
      <c r="V64" s="62"/>
      <c r="W64" s="42"/>
      <c r="X64" s="42"/>
      <c r="Y64" s="68"/>
      <c r="Z64" s="62"/>
      <c r="AA64" s="42"/>
      <c r="AB64" s="42"/>
      <c r="AC64" s="68"/>
      <c r="AD64" s="69"/>
      <c r="AG64" s="763"/>
    </row>
    <row r="65" spans="1:33" ht="24.75" hidden="1" customHeight="1" thickTop="1" thickBot="1">
      <c r="A65" s="762">
        <v>4</v>
      </c>
      <c r="B65" s="762">
        <v>6</v>
      </c>
      <c r="C65" s="777"/>
      <c r="D65" s="764" t="s">
        <v>84</v>
      </c>
      <c r="E65" s="766" t="s">
        <v>85</v>
      </c>
      <c r="F65" s="767">
        <v>1500</v>
      </c>
      <c r="G65" s="57" t="s">
        <v>66</v>
      </c>
      <c r="H65" s="58"/>
      <c r="I65" s="18"/>
      <c r="J65" s="18"/>
      <c r="K65" s="18"/>
      <c r="L65" s="19"/>
      <c r="M65" s="59"/>
      <c r="N65" s="18"/>
      <c r="O65" s="18"/>
      <c r="P65" s="25"/>
      <c r="Q65" s="59"/>
      <c r="R65" s="18"/>
      <c r="S65" s="18"/>
      <c r="T65" s="781"/>
      <c r="U65" s="25"/>
      <c r="V65" s="18"/>
      <c r="W65" s="60">
        <v>1500</v>
      </c>
      <c r="X65" s="18"/>
      <c r="Y65" s="25"/>
      <c r="Z65" s="58"/>
      <c r="AA65" s="18"/>
      <c r="AB65" s="18"/>
      <c r="AC65" s="25"/>
      <c r="AD65" s="61"/>
      <c r="AG65" s="762">
        <v>4</v>
      </c>
    </row>
    <row r="66" spans="1:33" ht="24" hidden="1" customHeight="1" thickBot="1">
      <c r="A66" s="763"/>
      <c r="B66" s="763"/>
      <c r="C66" s="777"/>
      <c r="D66" s="765"/>
      <c r="E66" s="765"/>
      <c r="F66" s="768"/>
      <c r="G66" s="40" t="s">
        <v>68</v>
      </c>
      <c r="H66" s="62"/>
      <c r="I66" s="42"/>
      <c r="J66" s="42"/>
      <c r="K66" s="42"/>
      <c r="L66" s="43"/>
      <c r="M66" s="65"/>
      <c r="N66" s="63"/>
      <c r="O66" s="63"/>
      <c r="P66" s="68"/>
      <c r="Q66" s="65"/>
      <c r="R66" s="63"/>
      <c r="S66" s="63"/>
      <c r="T66" s="781"/>
      <c r="U66" s="68"/>
      <c r="V66" s="42"/>
      <c r="W66" s="66" t="s">
        <v>81</v>
      </c>
      <c r="X66" s="42"/>
      <c r="Y66" s="68"/>
      <c r="Z66" s="62"/>
      <c r="AA66" s="42"/>
      <c r="AB66" s="42"/>
      <c r="AC66" s="68"/>
      <c r="AD66" s="69"/>
      <c r="AG66" s="763"/>
    </row>
    <row r="67" spans="1:33" ht="24.75" hidden="1" customHeight="1" thickTop="1" thickBot="1">
      <c r="A67" s="762">
        <v>10</v>
      </c>
      <c r="B67" s="762">
        <v>7</v>
      </c>
      <c r="C67" s="777"/>
      <c r="D67" s="764" t="s">
        <v>86</v>
      </c>
      <c r="E67" s="766" t="s">
        <v>65</v>
      </c>
      <c r="F67" s="767">
        <v>1000</v>
      </c>
      <c r="G67" s="57" t="s">
        <v>66</v>
      </c>
      <c r="H67" s="58"/>
      <c r="I67" s="18"/>
      <c r="J67" s="18"/>
      <c r="K67" s="18"/>
      <c r="L67" s="19"/>
      <c r="M67" s="59"/>
      <c r="N67" s="18"/>
      <c r="O67" s="18"/>
      <c r="P67" s="25"/>
      <c r="Q67" s="59"/>
      <c r="R67" s="18"/>
      <c r="S67" s="18"/>
      <c r="T67" s="781"/>
      <c r="U67" s="25"/>
      <c r="V67" s="58"/>
      <c r="W67" s="18"/>
      <c r="X67" s="60">
        <v>1000</v>
      </c>
      <c r="Y67" s="25"/>
      <c r="Z67" s="58"/>
      <c r="AA67" s="18"/>
      <c r="AB67" s="18"/>
      <c r="AC67" s="25"/>
      <c r="AD67" s="61"/>
      <c r="AG67" s="762">
        <v>10</v>
      </c>
    </row>
    <row r="68" spans="1:33" ht="24" hidden="1" customHeight="1" thickBot="1">
      <c r="A68" s="763"/>
      <c r="B68" s="763"/>
      <c r="C68" s="777"/>
      <c r="D68" s="770"/>
      <c r="E68" s="765"/>
      <c r="F68" s="768"/>
      <c r="G68" s="40" t="s">
        <v>68</v>
      </c>
      <c r="H68" s="62"/>
      <c r="I68" s="42"/>
      <c r="J68" s="42"/>
      <c r="K68" s="42"/>
      <c r="L68" s="43"/>
      <c r="M68" s="65"/>
      <c r="N68" s="63"/>
      <c r="O68" s="63"/>
      <c r="P68" s="68"/>
      <c r="Q68" s="65"/>
      <c r="R68" s="63"/>
      <c r="S68" s="63"/>
      <c r="T68" s="781"/>
      <c r="U68" s="68"/>
      <c r="V68" s="62"/>
      <c r="W68" s="42"/>
      <c r="X68" s="66" t="s">
        <v>87</v>
      </c>
      <c r="Y68" s="68"/>
      <c r="Z68" s="62"/>
      <c r="AA68" s="42"/>
      <c r="AB68" s="42"/>
      <c r="AC68" s="68"/>
      <c r="AD68" s="69"/>
      <c r="AG68" s="763"/>
    </row>
    <row r="69" spans="1:33" ht="24.75" hidden="1" customHeight="1" thickTop="1" thickBot="1">
      <c r="A69" s="762">
        <v>11</v>
      </c>
      <c r="B69" s="762">
        <v>8</v>
      </c>
      <c r="C69" s="777"/>
      <c r="D69" s="764" t="s">
        <v>88</v>
      </c>
      <c r="E69" s="766" t="s">
        <v>73</v>
      </c>
      <c r="F69" s="767">
        <v>2000</v>
      </c>
      <c r="G69" s="57" t="s">
        <v>66</v>
      </c>
      <c r="H69" s="58"/>
      <c r="I69" s="18"/>
      <c r="J69" s="18"/>
      <c r="K69" s="18"/>
      <c r="L69" s="19"/>
      <c r="M69" s="59"/>
      <c r="N69" s="18"/>
      <c r="O69" s="18"/>
      <c r="P69" s="25"/>
      <c r="Q69" s="59"/>
      <c r="R69" s="18"/>
      <c r="S69" s="18"/>
      <c r="T69" s="781"/>
      <c r="U69" s="25"/>
      <c r="V69" s="58"/>
      <c r="W69" s="18"/>
      <c r="X69" s="18"/>
      <c r="Y69" s="72">
        <v>2000</v>
      </c>
      <c r="Z69" s="58"/>
      <c r="AA69" s="18"/>
      <c r="AB69" s="18"/>
      <c r="AC69" s="25"/>
      <c r="AD69" s="61"/>
      <c r="AG69" s="762">
        <v>11</v>
      </c>
    </row>
    <row r="70" spans="1:33" ht="24" hidden="1" customHeight="1" thickBot="1">
      <c r="A70" s="769"/>
      <c r="B70" s="769"/>
      <c r="C70" s="777"/>
      <c r="D70" s="766"/>
      <c r="E70" s="765"/>
      <c r="F70" s="768"/>
      <c r="G70" s="40" t="s">
        <v>68</v>
      </c>
      <c r="H70" s="62"/>
      <c r="I70" s="42"/>
      <c r="J70" s="42"/>
      <c r="K70" s="42"/>
      <c r="L70" s="43"/>
      <c r="M70" s="65"/>
      <c r="N70" s="63"/>
      <c r="O70" s="63"/>
      <c r="P70" s="68"/>
      <c r="Q70" s="65"/>
      <c r="R70" s="63"/>
      <c r="S70" s="63"/>
      <c r="T70" s="781"/>
      <c r="U70" s="68"/>
      <c r="V70" s="62"/>
      <c r="W70" s="42"/>
      <c r="X70" s="42"/>
      <c r="Y70" s="67" t="s">
        <v>89</v>
      </c>
      <c r="Z70" s="62"/>
      <c r="AA70" s="42"/>
      <c r="AB70" s="42"/>
      <c r="AC70" s="68"/>
      <c r="AD70" s="69"/>
      <c r="AG70" s="763"/>
    </row>
    <row r="71" spans="1:33" ht="24.75" hidden="1" thickTop="1" thickBot="1">
      <c r="A71" s="769"/>
      <c r="B71" s="769"/>
      <c r="C71" s="777"/>
      <c r="D71" s="766"/>
      <c r="E71" s="771" t="s">
        <v>90</v>
      </c>
      <c r="F71" s="767">
        <v>5</v>
      </c>
      <c r="G71" s="57" t="s">
        <v>66</v>
      </c>
      <c r="H71" s="58"/>
      <c r="I71" s="18"/>
      <c r="J71" s="18"/>
      <c r="K71" s="18"/>
      <c r="L71" s="19"/>
      <c r="M71" s="59"/>
      <c r="N71" s="18"/>
      <c r="O71" s="18"/>
      <c r="P71" s="25"/>
      <c r="Q71" s="70">
        <v>5</v>
      </c>
      <c r="R71" s="18"/>
      <c r="S71" s="18"/>
      <c r="T71" s="781"/>
      <c r="U71" s="25"/>
      <c r="V71" s="58"/>
      <c r="W71" s="18"/>
      <c r="X71" s="18"/>
      <c r="Y71" s="25"/>
      <c r="Z71" s="58"/>
      <c r="AA71" s="18"/>
      <c r="AB71" s="18"/>
      <c r="AC71" s="25"/>
      <c r="AD71" s="61"/>
      <c r="AG71" s="78"/>
    </row>
    <row r="72" spans="1:33" ht="24" hidden="1" thickBot="1">
      <c r="A72" s="763"/>
      <c r="B72" s="763"/>
      <c r="C72" s="777"/>
      <c r="D72" s="770"/>
      <c r="E72" s="765"/>
      <c r="F72" s="768"/>
      <c r="G72" s="40" t="s">
        <v>68</v>
      </c>
      <c r="H72" s="62"/>
      <c r="I72" s="42"/>
      <c r="J72" s="42"/>
      <c r="K72" s="42"/>
      <c r="L72" s="43"/>
      <c r="M72" s="65"/>
      <c r="N72" s="63"/>
      <c r="O72" s="63"/>
      <c r="P72" s="68"/>
      <c r="Q72" s="73" t="s">
        <v>79</v>
      </c>
      <c r="R72" s="63"/>
      <c r="S72" s="63"/>
      <c r="T72" s="781"/>
      <c r="U72" s="68"/>
      <c r="V72" s="62"/>
      <c r="W72" s="42"/>
      <c r="X72" s="42"/>
      <c r="Y72" s="68"/>
      <c r="Z72" s="62"/>
      <c r="AA72" s="42"/>
      <c r="AB72" s="42"/>
      <c r="AC72" s="68"/>
      <c r="AD72" s="69"/>
      <c r="AG72" s="80"/>
    </row>
    <row r="73" spans="1:33" ht="24.75" hidden="1" customHeight="1" thickTop="1" thickBot="1">
      <c r="A73" s="762">
        <v>12</v>
      </c>
      <c r="B73" s="762">
        <v>9</v>
      </c>
      <c r="C73" s="777"/>
      <c r="D73" s="764" t="s">
        <v>91</v>
      </c>
      <c r="E73" s="766" t="s">
        <v>65</v>
      </c>
      <c r="F73" s="767">
        <v>2000</v>
      </c>
      <c r="G73" s="57" t="s">
        <v>66</v>
      </c>
      <c r="H73" s="58"/>
      <c r="I73" s="18"/>
      <c r="J73" s="18"/>
      <c r="K73" s="18"/>
      <c r="L73" s="19"/>
      <c r="M73" s="59"/>
      <c r="N73" s="18"/>
      <c r="O73" s="18"/>
      <c r="P73" s="25"/>
      <c r="Q73" s="59"/>
      <c r="R73" s="18"/>
      <c r="S73" s="18"/>
      <c r="T73" s="781"/>
      <c r="U73" s="25"/>
      <c r="V73" s="58"/>
      <c r="W73" s="18"/>
      <c r="X73" s="18"/>
      <c r="Y73" s="25"/>
      <c r="Z73" s="70">
        <v>2000</v>
      </c>
      <c r="AA73" s="18"/>
      <c r="AB73" s="18"/>
      <c r="AC73" s="25"/>
      <c r="AD73" s="61"/>
      <c r="AG73" s="762">
        <v>12</v>
      </c>
    </row>
    <row r="74" spans="1:33" ht="24" hidden="1" customHeight="1" thickBot="1">
      <c r="A74" s="763"/>
      <c r="B74" s="763"/>
      <c r="C74" s="777"/>
      <c r="D74" s="765"/>
      <c r="E74" s="765"/>
      <c r="F74" s="768"/>
      <c r="G74" s="40" t="s">
        <v>68</v>
      </c>
      <c r="H74" s="62"/>
      <c r="I74" s="42"/>
      <c r="J74" s="42"/>
      <c r="K74" s="42"/>
      <c r="L74" s="43"/>
      <c r="M74" s="65"/>
      <c r="N74" s="63"/>
      <c r="O74" s="63"/>
      <c r="P74" s="68"/>
      <c r="Q74" s="65"/>
      <c r="R74" s="63"/>
      <c r="S74" s="63"/>
      <c r="T74" s="781"/>
      <c r="U74" s="68"/>
      <c r="V74" s="62"/>
      <c r="W74" s="42"/>
      <c r="X74" s="42"/>
      <c r="Y74" s="68"/>
      <c r="Z74" s="77" t="s">
        <v>79</v>
      </c>
      <c r="AA74" s="42"/>
      <c r="AB74" s="42"/>
      <c r="AC74" s="68"/>
      <c r="AD74" s="69"/>
      <c r="AG74" s="763"/>
    </row>
    <row r="75" spans="1:33" ht="24.75" hidden="1" customHeight="1" thickTop="1" thickBot="1">
      <c r="A75" s="762">
        <v>13</v>
      </c>
      <c r="B75" s="762">
        <v>10</v>
      </c>
      <c r="C75" s="777"/>
      <c r="D75" s="764" t="s">
        <v>92</v>
      </c>
      <c r="E75" s="766" t="s">
        <v>65</v>
      </c>
      <c r="F75" s="767">
        <v>1000</v>
      </c>
      <c r="G75" s="57" t="s">
        <v>66</v>
      </c>
      <c r="H75" s="58"/>
      <c r="I75" s="18"/>
      <c r="J75" s="18"/>
      <c r="K75" s="18"/>
      <c r="L75" s="19"/>
      <c r="M75" s="59"/>
      <c r="N75" s="18"/>
      <c r="O75" s="18"/>
      <c r="P75" s="25"/>
      <c r="Q75" s="59"/>
      <c r="R75" s="18"/>
      <c r="S75" s="18"/>
      <c r="T75" s="781"/>
      <c r="U75" s="25"/>
      <c r="V75" s="58"/>
      <c r="W75" s="18"/>
      <c r="X75" s="18"/>
      <c r="Y75" s="25"/>
      <c r="Z75" s="58"/>
      <c r="AA75" s="60">
        <v>1000</v>
      </c>
      <c r="AB75" s="18"/>
      <c r="AC75" s="25"/>
      <c r="AD75" s="61"/>
      <c r="AG75" s="762">
        <v>13</v>
      </c>
    </row>
    <row r="76" spans="1:33" ht="24" hidden="1" customHeight="1" thickBot="1">
      <c r="A76" s="763"/>
      <c r="B76" s="763"/>
      <c r="C76" s="778"/>
      <c r="D76" s="765"/>
      <c r="E76" s="765"/>
      <c r="F76" s="768"/>
      <c r="G76" s="40" t="s">
        <v>68</v>
      </c>
      <c r="H76" s="62"/>
      <c r="I76" s="81"/>
      <c r="J76" s="81"/>
      <c r="K76" s="81"/>
      <c r="L76" s="82"/>
      <c r="M76" s="62"/>
      <c r="N76" s="83"/>
      <c r="O76" s="83"/>
      <c r="P76" s="84"/>
      <c r="Q76" s="62"/>
      <c r="R76" s="83"/>
      <c r="S76" s="83"/>
      <c r="T76" s="782"/>
      <c r="U76" s="84"/>
      <c r="V76" s="62"/>
      <c r="W76" s="81"/>
      <c r="X76" s="42"/>
      <c r="Y76" s="68"/>
      <c r="Z76" s="62"/>
      <c r="AA76" s="66" t="s">
        <v>81</v>
      </c>
      <c r="AB76" s="81"/>
      <c r="AC76" s="68"/>
      <c r="AD76" s="69"/>
      <c r="AG76" s="763"/>
    </row>
    <row r="77" spans="1:33" hidden="1"/>
    <row r="78" spans="1:33" hidden="1">
      <c r="B78" t="s">
        <v>108</v>
      </c>
    </row>
    <row r="79" spans="1:33" ht="21" hidden="1" thickBot="1"/>
    <row r="80" spans="1:33" ht="23.25" hidden="1">
      <c r="B80" s="783" t="s">
        <v>3</v>
      </c>
      <c r="C80" s="785" t="s">
        <v>188</v>
      </c>
      <c r="D80" s="785" t="s">
        <v>35</v>
      </c>
      <c r="E80" s="785" t="s">
        <v>4</v>
      </c>
      <c r="F80" s="785" t="s">
        <v>36</v>
      </c>
      <c r="G80" s="48" t="s">
        <v>37</v>
      </c>
      <c r="H80" s="772">
        <v>46023</v>
      </c>
      <c r="I80" s="773"/>
      <c r="J80" s="773"/>
      <c r="K80" s="773"/>
      <c r="L80" s="773"/>
      <c r="M80" s="772" t="s">
        <v>38</v>
      </c>
      <c r="N80" s="773"/>
      <c r="O80" s="773"/>
      <c r="P80" s="774"/>
      <c r="Q80" s="772" t="s">
        <v>39</v>
      </c>
      <c r="R80" s="773"/>
      <c r="S80" s="773"/>
      <c r="T80" s="773"/>
      <c r="U80" s="774"/>
      <c r="V80" s="772">
        <v>46113</v>
      </c>
      <c r="W80" s="773"/>
      <c r="X80" s="773"/>
      <c r="Y80" s="774"/>
      <c r="Z80" s="772">
        <v>46113</v>
      </c>
      <c r="AA80" s="773"/>
      <c r="AB80" s="773"/>
      <c r="AC80" s="774"/>
    </row>
    <row r="81" spans="2:32" ht="24" hidden="1" thickBot="1">
      <c r="B81" s="784"/>
      <c r="C81" s="786"/>
      <c r="D81" s="786"/>
      <c r="E81" s="786"/>
      <c r="F81" s="786"/>
      <c r="G81" s="50" t="s">
        <v>40</v>
      </c>
      <c r="H81" s="51" t="s">
        <v>41</v>
      </c>
      <c r="I81" s="11" t="s">
        <v>42</v>
      </c>
      <c r="J81" s="52" t="s">
        <v>43</v>
      </c>
      <c r="K81" s="11" t="s">
        <v>44</v>
      </c>
      <c r="L81" s="53" t="s">
        <v>45</v>
      </c>
      <c r="M81" s="54" t="s">
        <v>46</v>
      </c>
      <c r="N81" s="10" t="s">
        <v>47</v>
      </c>
      <c r="O81" s="11" t="s">
        <v>48</v>
      </c>
      <c r="P81" s="55" t="s">
        <v>49</v>
      </c>
      <c r="Q81" s="54" t="s">
        <v>50</v>
      </c>
      <c r="R81" s="10" t="s">
        <v>51</v>
      </c>
      <c r="S81" s="10" t="s">
        <v>52</v>
      </c>
      <c r="T81" s="56" t="s">
        <v>53</v>
      </c>
      <c r="U81" s="11" t="s">
        <v>54</v>
      </c>
      <c r="V81" s="51" t="s">
        <v>55</v>
      </c>
      <c r="W81" s="11" t="s">
        <v>56</v>
      </c>
      <c r="X81" s="10" t="s">
        <v>57</v>
      </c>
      <c r="Y81" s="13" t="s">
        <v>58</v>
      </c>
      <c r="Z81" s="51" t="s">
        <v>55</v>
      </c>
      <c r="AA81" s="11" t="s">
        <v>56</v>
      </c>
      <c r="AB81" s="10" t="s">
        <v>57</v>
      </c>
      <c r="AC81" s="13" t="s">
        <v>58</v>
      </c>
      <c r="AE81" s="118" t="s">
        <v>109</v>
      </c>
      <c r="AF81" s="118"/>
    </row>
    <row r="82" spans="2:32" ht="24.75" hidden="1" thickTop="1" thickBot="1">
      <c r="B82" s="775">
        <v>1</v>
      </c>
      <c r="C82" s="776" t="s">
        <v>63</v>
      </c>
      <c r="D82" s="764" t="s">
        <v>64</v>
      </c>
      <c r="E82" s="764" t="s">
        <v>65</v>
      </c>
      <c r="F82" s="779">
        <v>1000</v>
      </c>
      <c r="G82" s="57" t="s">
        <v>66</v>
      </c>
      <c r="H82" s="58"/>
      <c r="I82" s="18"/>
      <c r="J82" s="18"/>
      <c r="K82" s="18"/>
      <c r="L82" s="19"/>
      <c r="M82" s="59"/>
      <c r="N82" s="60">
        <v>1000</v>
      </c>
      <c r="O82" s="18"/>
      <c r="P82" s="25"/>
      <c r="Q82" s="59"/>
      <c r="R82" s="18"/>
      <c r="S82" s="18"/>
      <c r="T82" s="780" t="s">
        <v>67</v>
      </c>
      <c r="U82" s="25"/>
      <c r="V82" s="58"/>
      <c r="W82" s="18"/>
      <c r="X82" s="18"/>
      <c r="Y82" s="25"/>
      <c r="Z82" s="58"/>
      <c r="AA82" s="18"/>
      <c r="AB82" s="18"/>
      <c r="AC82" s="25"/>
    </row>
    <row r="83" spans="2:32" ht="24" hidden="1" thickBot="1">
      <c r="B83" s="763"/>
      <c r="C83" s="777"/>
      <c r="D83" s="770"/>
      <c r="E83" s="765"/>
      <c r="F83" s="768"/>
      <c r="G83" s="40" t="s">
        <v>68</v>
      </c>
      <c r="H83" s="62"/>
      <c r="I83" s="63"/>
      <c r="J83" s="63"/>
      <c r="K83" s="63"/>
      <c r="L83" s="64"/>
      <c r="M83" s="65"/>
      <c r="N83" s="76" t="s">
        <v>81</v>
      </c>
      <c r="O83" s="63"/>
      <c r="P83" s="68"/>
      <c r="Q83" s="65"/>
      <c r="R83" s="63"/>
      <c r="S83" s="63"/>
      <c r="T83" s="781"/>
      <c r="U83" s="68"/>
      <c r="V83" s="62"/>
      <c r="W83" s="63"/>
      <c r="X83" s="63"/>
      <c r="Y83" s="68"/>
      <c r="Z83" s="62"/>
      <c r="AA83" s="63"/>
      <c r="AB83" s="63"/>
      <c r="AC83" s="68"/>
    </row>
    <row r="84" spans="2:32" ht="24.75" hidden="1" thickTop="1" thickBot="1">
      <c r="B84" s="762">
        <v>2</v>
      </c>
      <c r="C84" s="777"/>
      <c r="D84" s="764" t="s">
        <v>72</v>
      </c>
      <c r="E84" s="766" t="s">
        <v>73</v>
      </c>
      <c r="F84" s="767">
        <v>1000</v>
      </c>
      <c r="G84" s="57" t="s">
        <v>66</v>
      </c>
      <c r="H84" s="58"/>
      <c r="I84" s="18"/>
      <c r="J84" s="60">
        <v>30</v>
      </c>
      <c r="K84" s="60">
        <v>90</v>
      </c>
      <c r="L84" s="19"/>
      <c r="M84" s="70">
        <v>420</v>
      </c>
      <c r="N84" s="60">
        <v>460</v>
      </c>
      <c r="O84" s="18"/>
      <c r="P84" s="25"/>
      <c r="Q84" s="59"/>
      <c r="R84" s="18"/>
      <c r="S84" s="18"/>
      <c r="T84" s="781"/>
      <c r="U84" s="25"/>
      <c r="V84" s="58"/>
      <c r="W84" s="18"/>
      <c r="X84" s="18"/>
      <c r="Y84" s="25"/>
      <c r="Z84" s="58"/>
      <c r="AA84" s="18"/>
      <c r="AB84" s="18"/>
      <c r="AC84" s="25"/>
    </row>
    <row r="85" spans="2:32" ht="24" hidden="1" thickBot="1">
      <c r="B85" s="763"/>
      <c r="C85" s="777"/>
      <c r="D85" s="765"/>
      <c r="E85" s="765"/>
      <c r="F85" s="768"/>
      <c r="G85" s="40" t="s">
        <v>68</v>
      </c>
      <c r="H85" s="62"/>
      <c r="I85" s="42"/>
      <c r="J85" s="66" t="s">
        <v>74</v>
      </c>
      <c r="K85" s="66" t="s">
        <v>75</v>
      </c>
      <c r="L85" s="43"/>
      <c r="M85" s="77" t="s">
        <v>79</v>
      </c>
      <c r="N85" s="76" t="s">
        <v>81</v>
      </c>
      <c r="O85" s="63"/>
      <c r="P85" s="68"/>
      <c r="Q85" s="65"/>
      <c r="R85" s="63"/>
      <c r="S85" s="63"/>
      <c r="T85" s="781"/>
      <c r="U85" s="68"/>
      <c r="V85" s="62"/>
      <c r="W85" s="42"/>
      <c r="X85" s="42"/>
      <c r="Y85" s="68"/>
      <c r="Z85" s="62"/>
      <c r="AA85" s="42"/>
      <c r="AB85" s="42"/>
      <c r="AC85" s="68"/>
    </row>
    <row r="86" spans="2:32" ht="24.75" hidden="1" thickTop="1" thickBot="1">
      <c r="B86" s="762">
        <v>3</v>
      </c>
      <c r="C86" s="777"/>
      <c r="D86" s="764" t="s">
        <v>78</v>
      </c>
      <c r="E86" s="766" t="s">
        <v>65</v>
      </c>
      <c r="F86" s="767">
        <v>1000</v>
      </c>
      <c r="G86" s="57" t="s">
        <v>66</v>
      </c>
      <c r="H86" s="58"/>
      <c r="I86" s="18"/>
      <c r="J86" s="18"/>
      <c r="K86" s="18"/>
      <c r="L86" s="19"/>
      <c r="M86" s="59"/>
      <c r="N86" s="18"/>
      <c r="O86" s="60">
        <v>1000</v>
      </c>
      <c r="P86" s="119"/>
      <c r="Q86" s="120"/>
      <c r="R86" s="18"/>
      <c r="S86" s="18"/>
      <c r="T86" s="781"/>
      <c r="U86" s="25"/>
      <c r="V86" s="58"/>
      <c r="W86" s="18"/>
      <c r="X86" s="18"/>
      <c r="Y86" s="25"/>
      <c r="Z86" s="58"/>
      <c r="AA86" s="18"/>
      <c r="AB86" s="18"/>
      <c r="AC86" s="25"/>
    </row>
    <row r="87" spans="2:32" ht="24" hidden="1" thickBot="1">
      <c r="B87" s="763"/>
      <c r="C87" s="777"/>
      <c r="D87" s="765"/>
      <c r="E87" s="765"/>
      <c r="F87" s="768"/>
      <c r="G87" s="40" t="s">
        <v>68</v>
      </c>
      <c r="H87" s="62"/>
      <c r="I87" s="42"/>
      <c r="J87" s="42"/>
      <c r="K87" s="42"/>
      <c r="L87" s="43"/>
      <c r="M87" s="65"/>
      <c r="N87" s="63"/>
      <c r="O87" s="76" t="s">
        <v>87</v>
      </c>
      <c r="P87" s="45"/>
      <c r="Q87" s="121"/>
      <c r="R87" s="63"/>
      <c r="S87" s="63"/>
      <c r="T87" s="781"/>
      <c r="U87" s="68"/>
      <c r="V87" s="62"/>
      <c r="W87" s="42"/>
      <c r="X87" s="42"/>
      <c r="Y87" s="68"/>
      <c r="Z87" s="62"/>
      <c r="AA87" s="42"/>
      <c r="AB87" s="42"/>
      <c r="AC87" s="68"/>
    </row>
    <row r="88" spans="2:32" ht="24.75" hidden="1" thickTop="1" thickBot="1">
      <c r="B88" s="762">
        <v>4</v>
      </c>
      <c r="C88" s="777"/>
      <c r="D88" s="764" t="s">
        <v>80</v>
      </c>
      <c r="E88" s="766" t="s">
        <v>73</v>
      </c>
      <c r="F88" s="767">
        <v>4000</v>
      </c>
      <c r="G88" s="57" t="s">
        <v>66</v>
      </c>
      <c r="H88" s="58"/>
      <c r="I88" s="18"/>
      <c r="J88" s="18"/>
      <c r="K88" s="18"/>
      <c r="L88" s="19"/>
      <c r="M88" s="59"/>
      <c r="N88" s="18"/>
      <c r="O88" s="60">
        <v>680</v>
      </c>
      <c r="P88" s="72">
        <v>1320</v>
      </c>
      <c r="Q88" s="70">
        <v>540</v>
      </c>
      <c r="R88" s="60">
        <v>1460</v>
      </c>
      <c r="S88" s="18"/>
      <c r="T88" s="781"/>
      <c r="U88" s="25"/>
      <c r="V88" s="58"/>
      <c r="W88" s="18"/>
      <c r="X88" s="18"/>
      <c r="Y88" s="25"/>
      <c r="Z88" s="58"/>
      <c r="AA88" s="18"/>
      <c r="AB88" s="18"/>
      <c r="AC88" s="25"/>
    </row>
    <row r="89" spans="2:32" ht="24" hidden="1" thickBot="1">
      <c r="B89" s="769"/>
      <c r="C89" s="777"/>
      <c r="D89" s="770"/>
      <c r="E89" s="765"/>
      <c r="F89" s="768"/>
      <c r="G89" s="40" t="s">
        <v>68</v>
      </c>
      <c r="H89" s="62"/>
      <c r="I89" s="42"/>
      <c r="J89" s="42"/>
      <c r="K89" s="42"/>
      <c r="L89" s="43"/>
      <c r="M89" s="65"/>
      <c r="N89" s="63"/>
      <c r="O89" s="76" t="s">
        <v>87</v>
      </c>
      <c r="P89" s="122" t="s">
        <v>71</v>
      </c>
      <c r="Q89" s="73" t="s">
        <v>79</v>
      </c>
      <c r="R89" s="76" t="s">
        <v>81</v>
      </c>
      <c r="S89" s="63"/>
      <c r="T89" s="781"/>
      <c r="U89" s="68"/>
      <c r="V89" s="62"/>
      <c r="W89" s="42"/>
      <c r="X89" s="42"/>
      <c r="Y89" s="68"/>
      <c r="Z89" s="62"/>
      <c r="AA89" s="42"/>
      <c r="AB89" s="42"/>
      <c r="AC89" s="68"/>
    </row>
    <row r="90" spans="2:32" ht="24.75" hidden="1" thickTop="1" thickBot="1">
      <c r="B90" s="762">
        <v>5</v>
      </c>
      <c r="C90" s="777"/>
      <c r="D90" s="764" t="s">
        <v>83</v>
      </c>
      <c r="E90" s="766" t="s">
        <v>65</v>
      </c>
      <c r="F90" s="767">
        <v>1000</v>
      </c>
      <c r="G90" s="57" t="s">
        <v>66</v>
      </c>
      <c r="H90" s="58"/>
      <c r="I90" s="18"/>
      <c r="J90" s="18"/>
      <c r="K90" s="18"/>
      <c r="L90" s="19"/>
      <c r="M90" s="59"/>
      <c r="N90" s="18"/>
      <c r="O90" s="18"/>
      <c r="P90" s="72">
        <v>180</v>
      </c>
      <c r="Q90" s="123">
        <v>820</v>
      </c>
      <c r="R90" s="18"/>
      <c r="S90" s="124"/>
      <c r="T90" s="781"/>
      <c r="U90" s="25"/>
      <c r="V90" s="58"/>
      <c r="W90" s="18"/>
      <c r="X90" s="18"/>
      <c r="Y90" s="25"/>
      <c r="Z90" s="58"/>
      <c r="AA90" s="18"/>
      <c r="AB90" s="18"/>
      <c r="AC90" s="25"/>
    </row>
    <row r="91" spans="2:32" ht="24" hidden="1" thickBot="1">
      <c r="B91" s="763"/>
      <c r="C91" s="777"/>
      <c r="D91" s="765"/>
      <c r="E91" s="765"/>
      <c r="F91" s="768"/>
      <c r="G91" s="40" t="s">
        <v>68</v>
      </c>
      <c r="H91" s="62"/>
      <c r="I91" s="42"/>
      <c r="J91" s="42"/>
      <c r="K91" s="42"/>
      <c r="L91" s="43"/>
      <c r="M91" s="65"/>
      <c r="N91" s="63"/>
      <c r="O91" s="63"/>
      <c r="P91" s="122" t="s">
        <v>71</v>
      </c>
      <c r="Q91" s="73" t="s">
        <v>79</v>
      </c>
      <c r="R91" s="63"/>
      <c r="S91" s="63"/>
      <c r="T91" s="781"/>
      <c r="U91" s="68"/>
      <c r="V91" s="62"/>
      <c r="W91" s="42"/>
      <c r="X91" s="42"/>
      <c r="Y91" s="68"/>
      <c r="Z91" s="62"/>
      <c r="AA91" s="42"/>
      <c r="AB91" s="42"/>
      <c r="AC91" s="68"/>
    </row>
    <row r="92" spans="2:32" ht="24.75" hidden="1" thickTop="1" thickBot="1">
      <c r="B92" s="762">
        <v>6</v>
      </c>
      <c r="C92" s="777"/>
      <c r="D92" s="764" t="s">
        <v>84</v>
      </c>
      <c r="E92" s="766" t="s">
        <v>85</v>
      </c>
      <c r="F92" s="767">
        <v>1500</v>
      </c>
      <c r="G92" s="57" t="s">
        <v>66</v>
      </c>
      <c r="H92" s="58"/>
      <c r="I92" s="18"/>
      <c r="J92" s="18"/>
      <c r="K92" s="18"/>
      <c r="L92" s="19"/>
      <c r="M92" s="59"/>
      <c r="N92" s="18"/>
      <c r="O92" s="18"/>
      <c r="P92" s="25"/>
      <c r="Q92" s="59"/>
      <c r="R92" s="18"/>
      <c r="S92" s="60">
        <v>720</v>
      </c>
      <c r="T92" s="781"/>
      <c r="U92" s="72">
        <v>780</v>
      </c>
      <c r="V92" s="59"/>
      <c r="W92" s="18"/>
      <c r="X92" s="18"/>
      <c r="Y92" s="25"/>
      <c r="Z92" s="59"/>
      <c r="AA92" s="18"/>
      <c r="AB92" s="18"/>
      <c r="AC92" s="25"/>
    </row>
    <row r="93" spans="2:32" ht="24" hidden="1" thickBot="1">
      <c r="B93" s="763"/>
      <c r="C93" s="777"/>
      <c r="D93" s="765"/>
      <c r="E93" s="765"/>
      <c r="F93" s="768"/>
      <c r="G93" s="40" t="s">
        <v>68</v>
      </c>
      <c r="H93" s="62"/>
      <c r="I93" s="42"/>
      <c r="J93" s="42"/>
      <c r="K93" s="42"/>
      <c r="L93" s="43"/>
      <c r="M93" s="65"/>
      <c r="N93" s="63"/>
      <c r="O93" s="63"/>
      <c r="P93" s="68"/>
      <c r="Q93" s="65"/>
      <c r="R93" s="63"/>
      <c r="S93" s="76" t="s">
        <v>87</v>
      </c>
      <c r="T93" s="781"/>
      <c r="U93" s="67" t="s">
        <v>82</v>
      </c>
      <c r="V93" s="65"/>
      <c r="W93" s="42"/>
      <c r="X93" s="42"/>
      <c r="Y93" s="68"/>
      <c r="Z93" s="65"/>
      <c r="AA93" s="42"/>
      <c r="AB93" s="42"/>
      <c r="AC93" s="68"/>
    </row>
    <row r="94" spans="2:32" ht="24.75" hidden="1" thickTop="1" thickBot="1">
      <c r="B94" s="762">
        <v>7</v>
      </c>
      <c r="C94" s="777"/>
      <c r="D94" s="764" t="s">
        <v>86</v>
      </c>
      <c r="E94" s="766" t="s">
        <v>65</v>
      </c>
      <c r="F94" s="767">
        <v>1000</v>
      </c>
      <c r="G94" s="57" t="s">
        <v>66</v>
      </c>
      <c r="H94" s="58"/>
      <c r="I94" s="18"/>
      <c r="J94" s="18"/>
      <c r="K94" s="18"/>
      <c r="L94" s="19"/>
      <c r="M94" s="59"/>
      <c r="N94" s="18"/>
      <c r="O94" s="18"/>
      <c r="P94" s="25"/>
      <c r="Q94" s="59"/>
      <c r="R94" s="18"/>
      <c r="S94" s="18"/>
      <c r="T94" s="781"/>
      <c r="U94" s="25"/>
      <c r="V94" s="70">
        <v>500</v>
      </c>
      <c r="W94" s="60">
        <v>500</v>
      </c>
      <c r="X94" s="18"/>
      <c r="Y94" s="25"/>
      <c r="Z94" s="70">
        <v>500</v>
      </c>
      <c r="AA94" s="60">
        <v>500</v>
      </c>
      <c r="AB94" s="18"/>
      <c r="AC94" s="25"/>
    </row>
    <row r="95" spans="2:32" ht="24" hidden="1" thickBot="1">
      <c r="B95" s="763"/>
      <c r="C95" s="777"/>
      <c r="D95" s="770"/>
      <c r="E95" s="765"/>
      <c r="F95" s="768"/>
      <c r="G95" s="40" t="s">
        <v>68</v>
      </c>
      <c r="H95" s="62"/>
      <c r="I95" s="42"/>
      <c r="J95" s="42"/>
      <c r="K95" s="42"/>
      <c r="L95" s="43"/>
      <c r="M95" s="65"/>
      <c r="N95" s="63"/>
      <c r="O95" s="63"/>
      <c r="P95" s="68"/>
      <c r="Q95" s="65"/>
      <c r="R95" s="63"/>
      <c r="S95" s="63"/>
      <c r="T95" s="781"/>
      <c r="U95" s="68"/>
      <c r="V95" s="77" t="s">
        <v>79</v>
      </c>
      <c r="W95" s="66" t="s">
        <v>81</v>
      </c>
      <c r="X95" s="42"/>
      <c r="Y95" s="68"/>
      <c r="Z95" s="77" t="s">
        <v>79</v>
      </c>
      <c r="AA95" s="66" t="s">
        <v>81</v>
      </c>
      <c r="AB95" s="42"/>
      <c r="AC95" s="68"/>
    </row>
    <row r="96" spans="2:32" ht="24.75" hidden="1" thickTop="1" thickBot="1">
      <c r="B96" s="762">
        <v>8</v>
      </c>
      <c r="C96" s="777"/>
      <c r="D96" s="764" t="s">
        <v>88</v>
      </c>
      <c r="E96" s="766" t="s">
        <v>73</v>
      </c>
      <c r="F96" s="767">
        <v>2000</v>
      </c>
      <c r="G96" s="57" t="s">
        <v>66</v>
      </c>
      <c r="H96" s="58"/>
      <c r="I96" s="18"/>
      <c r="J96" s="18"/>
      <c r="K96" s="18"/>
      <c r="L96" s="19"/>
      <c r="M96" s="59"/>
      <c r="N96" s="18"/>
      <c r="O96" s="18"/>
      <c r="P96" s="25"/>
      <c r="Q96" s="59"/>
      <c r="R96" s="18"/>
      <c r="S96" s="18"/>
      <c r="T96" s="781"/>
      <c r="U96" s="25"/>
      <c r="V96" s="58"/>
      <c r="W96" s="60">
        <v>1000</v>
      </c>
      <c r="X96" s="60">
        <v>1000</v>
      </c>
      <c r="Y96" s="25"/>
      <c r="Z96" s="58"/>
      <c r="AA96" s="60">
        <v>1000</v>
      </c>
      <c r="AB96" s="60">
        <v>1000</v>
      </c>
      <c r="AC96" s="25"/>
    </row>
    <row r="97" spans="1:35" ht="24" hidden="1" thickBot="1">
      <c r="B97" s="769"/>
      <c r="C97" s="777"/>
      <c r="D97" s="766"/>
      <c r="E97" s="765"/>
      <c r="F97" s="768"/>
      <c r="G97" s="40" t="s">
        <v>68</v>
      </c>
      <c r="H97" s="62"/>
      <c r="I97" s="42"/>
      <c r="J97" s="42"/>
      <c r="K97" s="42"/>
      <c r="L97" s="43"/>
      <c r="M97" s="65"/>
      <c r="N97" s="63"/>
      <c r="O97" s="63"/>
      <c r="P97" s="68"/>
      <c r="Q97" s="65"/>
      <c r="R97" s="63"/>
      <c r="S97" s="63"/>
      <c r="T97" s="781"/>
      <c r="U97" s="68"/>
      <c r="V97" s="62"/>
      <c r="W97" s="66" t="s">
        <v>81</v>
      </c>
      <c r="X97" s="66" t="s">
        <v>87</v>
      </c>
      <c r="Y97" s="68"/>
      <c r="Z97" s="62"/>
      <c r="AA97" s="66" t="s">
        <v>81</v>
      </c>
      <c r="AB97" s="66" t="s">
        <v>87</v>
      </c>
      <c r="AC97" s="68"/>
    </row>
    <row r="98" spans="1:35" ht="24.75" hidden="1" thickTop="1" thickBot="1">
      <c r="B98" s="769"/>
      <c r="C98" s="777"/>
      <c r="D98" s="766"/>
      <c r="E98" s="771" t="s">
        <v>90</v>
      </c>
      <c r="F98" s="767">
        <v>5</v>
      </c>
      <c r="G98" s="57" t="s">
        <v>66</v>
      </c>
      <c r="H98" s="58"/>
      <c r="I98" s="18"/>
      <c r="J98" s="18"/>
      <c r="K98" s="18"/>
      <c r="L98" s="19"/>
      <c r="M98" s="59"/>
      <c r="N98" s="18"/>
      <c r="O98" s="60">
        <v>5</v>
      </c>
      <c r="P98" s="25"/>
      <c r="Q98" s="59"/>
      <c r="R98" s="18"/>
      <c r="S98" s="18"/>
      <c r="T98" s="781"/>
      <c r="U98" s="25"/>
      <c r="V98" s="58"/>
      <c r="W98" s="18"/>
      <c r="X98" s="18"/>
      <c r="Y98" s="25"/>
      <c r="Z98" s="58"/>
      <c r="AA98" s="18"/>
      <c r="AB98" s="18"/>
      <c r="AC98" s="25"/>
    </row>
    <row r="99" spans="1:35" ht="24" hidden="1" thickBot="1">
      <c r="B99" s="763"/>
      <c r="C99" s="777"/>
      <c r="D99" s="770"/>
      <c r="E99" s="765"/>
      <c r="F99" s="768"/>
      <c r="G99" s="40" t="s">
        <v>68</v>
      </c>
      <c r="H99" s="62"/>
      <c r="I99" s="42"/>
      <c r="J99" s="42"/>
      <c r="K99" s="42"/>
      <c r="L99" s="43"/>
      <c r="M99" s="65"/>
      <c r="N99" s="63"/>
      <c r="O99" s="76" t="s">
        <v>87</v>
      </c>
      <c r="P99" s="68"/>
      <c r="Q99" s="75"/>
      <c r="R99" s="63"/>
      <c r="S99" s="63"/>
      <c r="T99" s="781"/>
      <c r="U99" s="68"/>
      <c r="V99" s="62"/>
      <c r="W99" s="42"/>
      <c r="X99" s="42"/>
      <c r="Y99" s="68"/>
      <c r="Z99" s="62"/>
      <c r="AA99" s="42"/>
      <c r="AB99" s="42"/>
      <c r="AC99" s="68"/>
    </row>
    <row r="100" spans="1:35" ht="24.75" hidden="1" thickTop="1" thickBot="1">
      <c r="B100" s="762">
        <v>9</v>
      </c>
      <c r="C100" s="777"/>
      <c r="D100" s="764" t="s">
        <v>91</v>
      </c>
      <c r="E100" s="766" t="s">
        <v>65</v>
      </c>
      <c r="F100" s="767">
        <v>2000</v>
      </c>
      <c r="G100" s="57" t="s">
        <v>66</v>
      </c>
      <c r="H100" s="58"/>
      <c r="I100" s="18"/>
      <c r="J100" s="18"/>
      <c r="K100" s="18"/>
      <c r="L100" s="19"/>
      <c r="M100" s="59"/>
      <c r="N100" s="18"/>
      <c r="O100" s="18"/>
      <c r="P100" s="25"/>
      <c r="Q100" s="59"/>
      <c r="R100" s="18"/>
      <c r="S100" s="18"/>
      <c r="T100" s="781"/>
      <c r="U100" s="25"/>
      <c r="V100" s="58"/>
      <c r="W100" s="18"/>
      <c r="X100" s="60">
        <v>1000</v>
      </c>
      <c r="Y100" s="72">
        <v>1000</v>
      </c>
      <c r="Z100" s="58"/>
      <c r="AA100" s="18"/>
      <c r="AB100" s="60">
        <v>1000</v>
      </c>
      <c r="AC100" s="72">
        <v>1000</v>
      </c>
    </row>
    <row r="101" spans="1:35" ht="24" hidden="1" thickBot="1">
      <c r="B101" s="763"/>
      <c r="C101" s="777"/>
      <c r="D101" s="765"/>
      <c r="E101" s="765"/>
      <c r="F101" s="768"/>
      <c r="G101" s="40" t="s">
        <v>68</v>
      </c>
      <c r="H101" s="62"/>
      <c r="I101" s="42"/>
      <c r="J101" s="42"/>
      <c r="K101" s="42"/>
      <c r="L101" s="43"/>
      <c r="M101" s="65"/>
      <c r="N101" s="63"/>
      <c r="O101" s="63"/>
      <c r="P101" s="68"/>
      <c r="Q101" s="65"/>
      <c r="R101" s="63"/>
      <c r="S101" s="63"/>
      <c r="T101" s="781"/>
      <c r="U101" s="68"/>
      <c r="V101" s="62"/>
      <c r="W101" s="42"/>
      <c r="X101" s="66" t="s">
        <v>87</v>
      </c>
      <c r="Y101" s="67" t="s">
        <v>89</v>
      </c>
      <c r="Z101" s="62"/>
      <c r="AA101" s="42"/>
      <c r="AB101" s="66" t="s">
        <v>87</v>
      </c>
      <c r="AC101" s="67" t="s">
        <v>89</v>
      </c>
    </row>
    <row r="102" spans="1:35" ht="24.75" hidden="1" thickTop="1" thickBot="1">
      <c r="B102" s="762">
        <v>10</v>
      </c>
      <c r="C102" s="777"/>
      <c r="D102" s="764" t="s">
        <v>92</v>
      </c>
      <c r="E102" s="766" t="s">
        <v>65</v>
      </c>
      <c r="F102" s="767">
        <v>1000</v>
      </c>
      <c r="G102" s="57" t="s">
        <v>66</v>
      </c>
      <c r="H102" s="58"/>
      <c r="I102" s="18"/>
      <c r="J102" s="18"/>
      <c r="K102" s="18"/>
      <c r="L102" s="19"/>
      <c r="M102" s="59"/>
      <c r="N102" s="18"/>
      <c r="O102" s="18"/>
      <c r="P102" s="25"/>
      <c r="Q102" s="59"/>
      <c r="R102" s="18"/>
      <c r="S102" s="18"/>
      <c r="T102" s="781"/>
      <c r="U102" s="25"/>
      <c r="V102" s="58"/>
      <c r="W102" s="18"/>
      <c r="X102" s="18"/>
      <c r="Y102" s="72">
        <v>1000</v>
      </c>
      <c r="Z102" s="58"/>
      <c r="AA102" s="18"/>
      <c r="AB102" s="18"/>
      <c r="AC102" s="72">
        <v>1000</v>
      </c>
    </row>
    <row r="103" spans="1:35" ht="24" hidden="1" thickBot="1">
      <c r="B103" s="763"/>
      <c r="C103" s="778"/>
      <c r="D103" s="765"/>
      <c r="E103" s="765"/>
      <c r="F103" s="768"/>
      <c r="G103" s="40" t="s">
        <v>68</v>
      </c>
      <c r="H103" s="62"/>
      <c r="I103" s="81"/>
      <c r="J103" s="81"/>
      <c r="K103" s="81"/>
      <c r="L103" s="82"/>
      <c r="M103" s="62"/>
      <c r="N103" s="83"/>
      <c r="O103" s="83"/>
      <c r="P103" s="84"/>
      <c r="Q103" s="62"/>
      <c r="R103" s="83"/>
      <c r="S103" s="83"/>
      <c r="T103" s="782"/>
      <c r="U103" s="84"/>
      <c r="V103" s="62"/>
      <c r="W103" s="81"/>
      <c r="X103" s="81"/>
      <c r="Y103" s="67" t="s">
        <v>89</v>
      </c>
      <c r="Z103" s="62"/>
      <c r="AA103" s="81"/>
      <c r="AB103" s="81"/>
      <c r="AC103" s="341" t="s">
        <v>89</v>
      </c>
    </row>
    <row r="104" spans="1:35">
      <c r="AC104" s="756" t="s">
        <v>226</v>
      </c>
      <c r="AD104" s="342"/>
      <c r="AE104" s="758">
        <f>AE42*A41</f>
        <v>1210957138.0000002</v>
      </c>
      <c r="AF104" s="758"/>
      <c r="AG104" s="759"/>
    </row>
    <row r="105" spans="1:35" ht="21" hidden="1" thickBot="1">
      <c r="B105" t="s">
        <v>351</v>
      </c>
      <c r="AC105" s="833"/>
      <c r="AD105" s="459"/>
      <c r="AE105" s="834"/>
      <c r="AF105" s="834"/>
      <c r="AG105" s="835"/>
    </row>
    <row r="106" spans="1:35" s="9" customFormat="1" ht="24" hidden="1" thickBot="1">
      <c r="A106" s="827" t="s">
        <v>34</v>
      </c>
      <c r="B106" s="783" t="s">
        <v>3</v>
      </c>
      <c r="C106" s="785" t="s">
        <v>188</v>
      </c>
      <c r="D106" s="785" t="s">
        <v>35</v>
      </c>
      <c r="E106" s="785" t="s">
        <v>4</v>
      </c>
      <c r="F106" s="785" t="s">
        <v>36</v>
      </c>
      <c r="G106" s="48" t="s">
        <v>37</v>
      </c>
      <c r="H106" s="772">
        <v>46023</v>
      </c>
      <c r="I106" s="773"/>
      <c r="J106" s="773"/>
      <c r="K106" s="773"/>
      <c r="L106" s="773"/>
      <c r="M106" s="772" t="s">
        <v>38</v>
      </c>
      <c r="N106" s="773"/>
      <c r="O106" s="773"/>
      <c r="P106" s="829"/>
      <c r="Q106" s="773" t="s">
        <v>39</v>
      </c>
      <c r="R106" s="773"/>
      <c r="S106" s="773"/>
      <c r="T106" s="773"/>
      <c r="U106" s="829"/>
      <c r="V106" s="773">
        <v>46113</v>
      </c>
      <c r="W106" s="773"/>
      <c r="X106" s="773"/>
      <c r="Y106" s="774"/>
      <c r="Z106"/>
      <c r="AA106"/>
      <c r="AB106"/>
      <c r="AC106" s="757"/>
      <c r="AD106"/>
      <c r="AE106" s="760"/>
      <c r="AF106" s="760"/>
      <c r="AG106" s="761"/>
    </row>
    <row r="107" spans="1:35" s="9" customFormat="1" ht="24" hidden="1" thickBot="1">
      <c r="A107" s="828"/>
      <c r="B107" s="821"/>
      <c r="C107" s="777"/>
      <c r="D107" s="777"/>
      <c r="E107" s="777"/>
      <c r="F107" s="777"/>
      <c r="G107" s="214" t="s">
        <v>40</v>
      </c>
      <c r="H107" s="215" t="s">
        <v>41</v>
      </c>
      <c r="I107" s="125" t="s">
        <v>42</v>
      </c>
      <c r="J107" s="216" t="s">
        <v>43</v>
      </c>
      <c r="K107" s="125" t="s">
        <v>44</v>
      </c>
      <c r="L107" s="217" t="s">
        <v>45</v>
      </c>
      <c r="M107" s="481" t="s">
        <v>46</v>
      </c>
      <c r="N107" s="482" t="s">
        <v>47</v>
      </c>
      <c r="O107" s="483" t="s">
        <v>48</v>
      </c>
      <c r="P107" s="684" t="s">
        <v>49</v>
      </c>
      <c r="Q107" s="681" t="s">
        <v>50</v>
      </c>
      <c r="R107" s="49" t="s">
        <v>51</v>
      </c>
      <c r="S107" s="49" t="s">
        <v>52</v>
      </c>
      <c r="T107" s="218" t="s">
        <v>53</v>
      </c>
      <c r="U107" s="695" t="s">
        <v>54</v>
      </c>
      <c r="V107" s="49" t="s">
        <v>55</v>
      </c>
      <c r="W107" s="125" t="s">
        <v>56</v>
      </c>
      <c r="X107" s="49" t="s">
        <v>57</v>
      </c>
      <c r="Y107" s="219" t="s">
        <v>58</v>
      </c>
      <c r="Z107" s="215" t="s">
        <v>59</v>
      </c>
      <c r="AA107" s="125" t="s">
        <v>60</v>
      </c>
      <c r="AB107" s="49" t="s">
        <v>61</v>
      </c>
      <c r="AC107" s="219" t="s">
        <v>62</v>
      </c>
      <c r="AD107"/>
      <c r="AE107"/>
      <c r="AF107" s="3"/>
      <c r="AG107" s="452"/>
    </row>
    <row r="108" spans="1:35" s="3" customFormat="1" ht="25.15" hidden="1" customHeight="1" thickTop="1" thickBot="1">
      <c r="A108" s="815">
        <v>5</v>
      </c>
      <c r="B108" s="815">
        <v>1</v>
      </c>
      <c r="C108" s="816" t="s">
        <v>63</v>
      </c>
      <c r="D108" s="817" t="s">
        <v>64</v>
      </c>
      <c r="E108" s="817" t="s">
        <v>65</v>
      </c>
      <c r="F108" s="818">
        <v>1000</v>
      </c>
      <c r="G108" s="220" t="s">
        <v>66</v>
      </c>
      <c r="H108" s="221"/>
      <c r="I108" s="28"/>
      <c r="J108" s="28"/>
      <c r="K108" s="28"/>
      <c r="L108" s="222"/>
      <c r="M108" s="223"/>
      <c r="N108" s="224">
        <v>540</v>
      </c>
      <c r="O108" s="224">
        <v>420</v>
      </c>
      <c r="P108" s="685"/>
      <c r="Q108" s="710"/>
      <c r="R108" s="709">
        <v>40</v>
      </c>
      <c r="S108" s="495"/>
      <c r="T108"/>
      <c r="U108" s="696"/>
      <c r="V108" s="688"/>
      <c r="W108" s="495"/>
      <c r="X108" s="495"/>
      <c r="Y108" s="496"/>
      <c r="Z108" s="221"/>
      <c r="AA108" s="28"/>
      <c r="AB108" s="28"/>
      <c r="AC108" s="225"/>
      <c r="AD108"/>
      <c r="AE108" s="338"/>
      <c r="AF108"/>
      <c r="AG108" s="775">
        <v>5</v>
      </c>
    </row>
    <row r="109" spans="1:35" s="3" customFormat="1" ht="25.15" hidden="1" customHeight="1" thickBot="1">
      <c r="A109" s="763"/>
      <c r="B109" s="763"/>
      <c r="C109" s="777"/>
      <c r="D109" s="770"/>
      <c r="E109" s="765"/>
      <c r="F109" s="768"/>
      <c r="G109" s="40" t="s">
        <v>68</v>
      </c>
      <c r="H109" s="62"/>
      <c r="I109" s="63"/>
      <c r="J109" s="63"/>
      <c r="K109" s="63"/>
      <c r="L109" s="64"/>
      <c r="M109" s="65"/>
      <c r="N109" s="66" t="s">
        <v>69</v>
      </c>
      <c r="O109" s="66" t="s">
        <v>70</v>
      </c>
      <c r="P109" s="46"/>
      <c r="Q109" s="711"/>
      <c r="R109" s="584">
        <v>46092</v>
      </c>
      <c r="S109" s="499"/>
      <c r="T109"/>
      <c r="U109" s="697"/>
      <c r="V109" s="689"/>
      <c r="W109" s="499"/>
      <c r="X109" s="499"/>
      <c r="Y109" s="500"/>
      <c r="Z109" s="62"/>
      <c r="AA109" s="63"/>
      <c r="AB109" s="63"/>
      <c r="AC109" s="68"/>
      <c r="AD109"/>
      <c r="AE109" s="337"/>
      <c r="AF109"/>
      <c r="AG109" s="763"/>
      <c r="AH109">
        <v>150</v>
      </c>
      <c r="AI109" s="37">
        <v>45961</v>
      </c>
    </row>
    <row r="110" spans="1:35" ht="24.75" hidden="1" thickTop="1" thickBot="1">
      <c r="A110" s="762">
        <v>6</v>
      </c>
      <c r="B110" s="762">
        <v>2</v>
      </c>
      <c r="C110" s="777"/>
      <c r="D110" s="764" t="s">
        <v>72</v>
      </c>
      <c r="E110" s="766" t="s">
        <v>73</v>
      </c>
      <c r="F110" s="767">
        <v>1000</v>
      </c>
      <c r="G110" s="57" t="s">
        <v>66</v>
      </c>
      <c r="H110" s="58"/>
      <c r="I110" s="18"/>
      <c r="J110" s="60">
        <v>30</v>
      </c>
      <c r="K110" s="60">
        <v>90</v>
      </c>
      <c r="L110" s="19"/>
      <c r="M110" s="70">
        <v>420</v>
      </c>
      <c r="N110" s="60">
        <v>450</v>
      </c>
      <c r="O110" s="60">
        <v>10</v>
      </c>
      <c r="P110" s="38"/>
      <c r="Q110" s="712"/>
      <c r="R110" s="503"/>
      <c r="S110" s="503"/>
      <c r="U110" s="698"/>
      <c r="V110" s="690"/>
      <c r="W110" s="503"/>
      <c r="X110" s="503"/>
      <c r="Y110" s="504"/>
      <c r="Z110" s="58"/>
      <c r="AA110" s="18"/>
      <c r="AB110" s="18"/>
      <c r="AC110" s="25"/>
      <c r="AE110" s="338"/>
      <c r="AG110" s="762">
        <v>6</v>
      </c>
    </row>
    <row r="111" spans="1:35" ht="24" hidden="1" thickBot="1">
      <c r="A111" s="763"/>
      <c r="B111" s="763"/>
      <c r="C111" s="777"/>
      <c r="D111" s="765"/>
      <c r="E111" s="765"/>
      <c r="F111" s="768"/>
      <c r="G111" s="40" t="s">
        <v>68</v>
      </c>
      <c r="H111" s="62"/>
      <c r="I111" s="42"/>
      <c r="J111" s="66" t="s">
        <v>74</v>
      </c>
      <c r="K111" s="66" t="s">
        <v>75</v>
      </c>
      <c r="L111" s="43"/>
      <c r="M111" s="71" t="s">
        <v>76</v>
      </c>
      <c r="N111" s="66" t="s">
        <v>77</v>
      </c>
      <c r="O111" s="66" t="s">
        <v>70</v>
      </c>
      <c r="P111" s="46"/>
      <c r="Q111" s="711"/>
      <c r="R111" s="499"/>
      <c r="S111" s="499"/>
      <c r="U111" s="697"/>
      <c r="V111" s="689"/>
      <c r="W111" s="507"/>
      <c r="X111" s="507"/>
      <c r="Y111" s="500"/>
      <c r="Z111" s="62"/>
      <c r="AA111" s="42"/>
      <c r="AB111" s="42"/>
      <c r="AC111" s="68"/>
      <c r="AE111" s="337"/>
      <c r="AG111" s="763"/>
    </row>
    <row r="112" spans="1:35" ht="24.75" hidden="1" thickTop="1" thickBot="1">
      <c r="A112" s="762">
        <v>7</v>
      </c>
      <c r="B112" s="762">
        <v>3</v>
      </c>
      <c r="C112" s="777"/>
      <c r="D112" s="764" t="s">
        <v>78</v>
      </c>
      <c r="E112" s="766" t="s">
        <v>65</v>
      </c>
      <c r="F112" s="767">
        <v>1000</v>
      </c>
      <c r="G112" s="57" t="s">
        <v>66</v>
      </c>
      <c r="H112" s="58"/>
      <c r="I112" s="18"/>
      <c r="J112" s="18"/>
      <c r="K112" s="18"/>
      <c r="L112" s="19"/>
      <c r="M112" s="59"/>
      <c r="N112" s="18"/>
      <c r="O112" s="18"/>
      <c r="P112" s="38"/>
      <c r="Q112" s="713"/>
      <c r="R112" s="509">
        <v>140</v>
      </c>
      <c r="S112" s="509">
        <v>540</v>
      </c>
      <c r="U112" s="699">
        <f>1000-(R112+S112)</f>
        <v>320</v>
      </c>
      <c r="V112" s="690"/>
      <c r="W112" s="588"/>
      <c r="X112" s="503"/>
      <c r="Y112" s="504"/>
      <c r="Z112" s="58"/>
      <c r="AA112" s="18"/>
      <c r="AB112" s="18"/>
      <c r="AC112" s="25"/>
      <c r="AE112" s="338"/>
      <c r="AG112" s="762">
        <v>7</v>
      </c>
    </row>
    <row r="113" spans="1:33" ht="24" hidden="1" thickBot="1">
      <c r="A113" s="763"/>
      <c r="B113" s="763"/>
      <c r="C113" s="777"/>
      <c r="D113" s="765"/>
      <c r="E113" s="765"/>
      <c r="F113" s="768"/>
      <c r="G113" s="40" t="s">
        <v>68</v>
      </c>
      <c r="H113" s="62"/>
      <c r="I113" s="42"/>
      <c r="J113" s="42"/>
      <c r="K113" s="42"/>
      <c r="L113" s="43"/>
      <c r="M113" s="65"/>
      <c r="N113" s="63"/>
      <c r="O113" s="63"/>
      <c r="P113" s="46"/>
      <c r="Q113" s="682"/>
      <c r="R113" s="584">
        <v>46092</v>
      </c>
      <c r="S113" s="584">
        <v>46097</v>
      </c>
      <c r="U113" s="700">
        <v>46108</v>
      </c>
      <c r="V113" s="689"/>
      <c r="W113" s="507"/>
      <c r="X113" s="507"/>
      <c r="Y113" s="500"/>
      <c r="Z113" s="62"/>
      <c r="AA113" s="42"/>
      <c r="AB113" s="42"/>
      <c r="AC113" s="68"/>
      <c r="AE113" s="337"/>
      <c r="AG113" s="763"/>
    </row>
    <row r="114" spans="1:33" ht="24.75" hidden="1" thickTop="1" thickBot="1">
      <c r="A114" s="762">
        <v>8</v>
      </c>
      <c r="B114" s="762">
        <v>4</v>
      </c>
      <c r="C114" s="777"/>
      <c r="D114" s="764" t="s">
        <v>80</v>
      </c>
      <c r="E114" s="766" t="s">
        <v>73</v>
      </c>
      <c r="F114" s="767">
        <v>4000</v>
      </c>
      <c r="G114" s="57" t="s">
        <v>66</v>
      </c>
      <c r="H114" s="58"/>
      <c r="I114" s="18"/>
      <c r="J114" s="18"/>
      <c r="K114" s="18"/>
      <c r="L114" s="19"/>
      <c r="M114" s="59"/>
      <c r="N114" s="18"/>
      <c r="O114" s="60">
        <v>320</v>
      </c>
      <c r="P114" s="38"/>
      <c r="Q114" s="683">
        <v>180</v>
      </c>
      <c r="R114" s="509">
        <v>540</v>
      </c>
      <c r="S114" s="509">
        <v>900</v>
      </c>
      <c r="U114" s="699">
        <v>540</v>
      </c>
      <c r="V114" s="683">
        <v>720</v>
      </c>
      <c r="W114" s="509">
        <v>800</v>
      </c>
      <c r="X114" s="503"/>
      <c r="Y114" s="504"/>
      <c r="Z114" s="58"/>
      <c r="AA114" s="18"/>
      <c r="AB114" s="18"/>
      <c r="AC114" s="25"/>
      <c r="AE114" s="338"/>
      <c r="AG114" s="74">
        <v>8</v>
      </c>
    </row>
    <row r="115" spans="1:33" ht="24" hidden="1" thickBot="1">
      <c r="A115" s="769"/>
      <c r="B115" s="769"/>
      <c r="C115" s="777"/>
      <c r="D115" s="770"/>
      <c r="E115" s="765"/>
      <c r="F115" s="768"/>
      <c r="G115" s="40" t="s">
        <v>68</v>
      </c>
      <c r="H115" s="62"/>
      <c r="I115" s="42"/>
      <c r="J115" s="42"/>
      <c r="K115" s="42"/>
      <c r="L115" s="43"/>
      <c r="M115" s="65"/>
      <c r="N115" s="63"/>
      <c r="O115" s="66" t="s">
        <v>70</v>
      </c>
      <c r="P115" s="686"/>
      <c r="Q115" s="714">
        <v>46088</v>
      </c>
      <c r="R115" s="584">
        <v>46092</v>
      </c>
      <c r="S115" s="584">
        <v>46097</v>
      </c>
      <c r="U115" s="700">
        <v>46108</v>
      </c>
      <c r="V115" s="691">
        <v>46115</v>
      </c>
      <c r="W115" s="584">
        <v>46121</v>
      </c>
      <c r="X115" s="507"/>
      <c r="Y115" s="500"/>
      <c r="Z115" s="62"/>
      <c r="AA115" s="42"/>
      <c r="AB115" s="42"/>
      <c r="AC115" s="68"/>
      <c r="AE115" s="337"/>
      <c r="AG115" s="78"/>
    </row>
    <row r="116" spans="1:33" ht="24.75" hidden="1" thickTop="1" thickBot="1">
      <c r="A116" s="762">
        <v>9</v>
      </c>
      <c r="B116" s="762">
        <v>5</v>
      </c>
      <c r="C116" s="777"/>
      <c r="D116" s="764" t="s">
        <v>83</v>
      </c>
      <c r="E116" s="766" t="s">
        <v>65</v>
      </c>
      <c r="F116" s="767">
        <v>1000</v>
      </c>
      <c r="G116" s="57" t="s">
        <v>66</v>
      </c>
      <c r="H116" s="58"/>
      <c r="I116" s="18"/>
      <c r="J116" s="18"/>
      <c r="K116" s="18"/>
      <c r="L116" s="19"/>
      <c r="M116" s="59"/>
      <c r="N116" s="18"/>
      <c r="O116" s="18"/>
      <c r="P116" s="38"/>
      <c r="Q116" s="713"/>
      <c r="R116" s="503"/>
      <c r="S116" s="503"/>
      <c r="U116" s="698"/>
      <c r="V116" s="692"/>
      <c r="W116" s="509">
        <v>1000</v>
      </c>
      <c r="X116" s="503"/>
      <c r="Y116" s="504"/>
      <c r="Z116" s="58"/>
      <c r="AA116" s="18"/>
      <c r="AB116" s="18"/>
      <c r="AC116" s="25"/>
      <c r="AE116" s="338"/>
      <c r="AG116" s="762">
        <v>9</v>
      </c>
    </row>
    <row r="117" spans="1:33" ht="24" hidden="1" thickBot="1">
      <c r="A117" s="763"/>
      <c r="B117" s="763"/>
      <c r="C117" s="777"/>
      <c r="D117" s="765"/>
      <c r="E117" s="765"/>
      <c r="F117" s="768"/>
      <c r="G117" s="40" t="s">
        <v>68</v>
      </c>
      <c r="H117" s="62"/>
      <c r="I117" s="42"/>
      <c r="J117" s="42"/>
      <c r="K117" s="42"/>
      <c r="L117" s="43"/>
      <c r="M117" s="65"/>
      <c r="N117" s="63"/>
      <c r="O117" s="63"/>
      <c r="P117" s="686"/>
      <c r="Q117" s="682"/>
      <c r="R117" s="499"/>
      <c r="S117" s="499"/>
      <c r="U117" s="697"/>
      <c r="V117" s="682"/>
      <c r="W117" s="584">
        <v>46123</v>
      </c>
      <c r="X117" s="507"/>
      <c r="Y117" s="500"/>
      <c r="Z117" s="62"/>
      <c r="AA117" s="42"/>
      <c r="AB117" s="42"/>
      <c r="AC117" s="68"/>
      <c r="AE117" s="337"/>
      <c r="AG117" s="763"/>
    </row>
    <row r="118" spans="1:33" ht="24.75" hidden="1" customHeight="1" thickTop="1" thickBot="1">
      <c r="A118" s="762">
        <v>4</v>
      </c>
      <c r="B118" s="762">
        <v>6</v>
      </c>
      <c r="C118" s="777"/>
      <c r="D118" s="764" t="s">
        <v>84</v>
      </c>
      <c r="E118" s="766" t="s">
        <v>85</v>
      </c>
      <c r="F118" s="767">
        <v>1500</v>
      </c>
      <c r="G118" s="57" t="s">
        <v>66</v>
      </c>
      <c r="H118" s="58"/>
      <c r="I118" s="18"/>
      <c r="J118" s="18"/>
      <c r="K118" s="18"/>
      <c r="L118" s="19"/>
      <c r="M118" s="59"/>
      <c r="N118" s="18"/>
      <c r="O118" s="18"/>
      <c r="P118" s="38"/>
      <c r="Q118" s="712"/>
      <c r="R118" s="503"/>
      <c r="S118" s="503"/>
      <c r="U118" s="698"/>
      <c r="V118" s="690"/>
      <c r="W118" s="503"/>
      <c r="X118" s="503"/>
      <c r="Y118" s="504"/>
      <c r="Z118" s="58"/>
      <c r="AA118" s="18"/>
      <c r="AB118" s="509">
        <v>1000</v>
      </c>
      <c r="AC118" s="25"/>
      <c r="AE118" s="338"/>
      <c r="AG118" s="762">
        <v>4</v>
      </c>
    </row>
    <row r="119" spans="1:33" ht="24" hidden="1" customHeight="1" thickBot="1">
      <c r="A119" s="763"/>
      <c r="B119" s="763"/>
      <c r="C119" s="777"/>
      <c r="D119" s="765"/>
      <c r="E119" s="765"/>
      <c r="F119" s="768"/>
      <c r="G119" s="40" t="s">
        <v>68</v>
      </c>
      <c r="H119" s="62"/>
      <c r="I119" s="42"/>
      <c r="J119" s="42"/>
      <c r="K119" s="42"/>
      <c r="L119" s="43"/>
      <c r="M119" s="65"/>
      <c r="N119" s="63"/>
      <c r="O119" s="63"/>
      <c r="P119" s="46"/>
      <c r="Q119" s="711"/>
      <c r="R119" s="499"/>
      <c r="S119" s="499"/>
      <c r="U119" s="697"/>
      <c r="V119" s="689"/>
      <c r="W119" s="507"/>
      <c r="X119" s="507"/>
      <c r="Y119" s="500"/>
      <c r="Z119" s="62"/>
      <c r="AA119" s="42"/>
      <c r="AB119" s="584">
        <v>46163</v>
      </c>
      <c r="AC119" s="68"/>
      <c r="AE119" s="337"/>
      <c r="AG119" s="763"/>
    </row>
    <row r="120" spans="1:33" ht="24.75" hidden="1" customHeight="1" thickTop="1" thickBot="1">
      <c r="A120" s="762">
        <v>10</v>
      </c>
      <c r="B120" s="762">
        <v>7</v>
      </c>
      <c r="C120" s="777"/>
      <c r="D120" s="764" t="s">
        <v>86</v>
      </c>
      <c r="E120" s="766" t="s">
        <v>65</v>
      </c>
      <c r="F120" s="767">
        <v>1000</v>
      </c>
      <c r="G120" s="57" t="s">
        <v>66</v>
      </c>
      <c r="H120" s="58"/>
      <c r="I120" s="18"/>
      <c r="J120" s="18"/>
      <c r="K120" s="18"/>
      <c r="L120" s="19"/>
      <c r="M120" s="59"/>
      <c r="N120" s="18"/>
      <c r="O120" s="18"/>
      <c r="P120" s="38"/>
      <c r="Q120" s="712"/>
      <c r="R120" s="503"/>
      <c r="S120" s="503"/>
      <c r="U120" s="698"/>
      <c r="V120" s="690"/>
      <c r="W120" s="503"/>
      <c r="X120" s="509">
        <v>1000</v>
      </c>
      <c r="Y120" s="504"/>
      <c r="Z120" s="58"/>
      <c r="AA120" s="18"/>
      <c r="AB120" s="18"/>
      <c r="AC120" s="25"/>
      <c r="AE120" s="338"/>
      <c r="AG120" s="762">
        <v>10</v>
      </c>
    </row>
    <row r="121" spans="1:33" ht="24" hidden="1" customHeight="1" thickBot="1">
      <c r="A121" s="763"/>
      <c r="B121" s="763"/>
      <c r="C121" s="777"/>
      <c r="D121" s="770"/>
      <c r="E121" s="765"/>
      <c r="F121" s="768"/>
      <c r="G121" s="40" t="s">
        <v>68</v>
      </c>
      <c r="H121" s="62"/>
      <c r="I121" s="42"/>
      <c r="J121" s="42"/>
      <c r="K121" s="42"/>
      <c r="L121" s="43"/>
      <c r="M121" s="65"/>
      <c r="N121" s="63"/>
      <c r="O121" s="63"/>
      <c r="P121" s="46"/>
      <c r="Q121" s="711"/>
      <c r="R121" s="499"/>
      <c r="S121" s="499"/>
      <c r="U121" s="697"/>
      <c r="V121" s="689"/>
      <c r="W121" s="507"/>
      <c r="X121" s="584">
        <v>46129</v>
      </c>
      <c r="Y121" s="500"/>
      <c r="Z121" s="62"/>
      <c r="AA121" s="42"/>
      <c r="AB121" s="42"/>
      <c r="AC121" s="68"/>
      <c r="AE121" s="337"/>
      <c r="AG121" s="763"/>
    </row>
    <row r="122" spans="1:33" ht="24.75" hidden="1" customHeight="1" thickTop="1" thickBot="1">
      <c r="A122" s="762">
        <v>11</v>
      </c>
      <c r="B122" s="762">
        <v>8</v>
      </c>
      <c r="C122" s="777"/>
      <c r="D122" s="764" t="s">
        <v>88</v>
      </c>
      <c r="E122" s="766" t="s">
        <v>73</v>
      </c>
      <c r="F122" s="767">
        <v>2000</v>
      </c>
      <c r="G122" s="57" t="s">
        <v>66</v>
      </c>
      <c r="H122" s="58"/>
      <c r="I122" s="18"/>
      <c r="J122" s="18"/>
      <c r="K122" s="18"/>
      <c r="L122" s="19"/>
      <c r="M122" s="59"/>
      <c r="N122" s="18"/>
      <c r="O122" s="18"/>
      <c r="P122" s="38"/>
      <c r="Q122" s="712"/>
      <c r="R122" s="503"/>
      <c r="S122" s="503"/>
      <c r="U122" s="698"/>
      <c r="V122" s="690"/>
      <c r="W122" s="503"/>
      <c r="X122" s="503"/>
      <c r="Y122" s="509">
        <v>2000</v>
      </c>
      <c r="Z122" s="58"/>
      <c r="AA122" s="18"/>
      <c r="AB122" s="18"/>
      <c r="AC122" s="25"/>
      <c r="AE122" s="338"/>
      <c r="AG122" s="762">
        <v>11</v>
      </c>
    </row>
    <row r="123" spans="1:33" ht="24" hidden="1" customHeight="1" thickBot="1">
      <c r="A123" s="769"/>
      <c r="B123" s="769"/>
      <c r="C123" s="777"/>
      <c r="D123" s="766"/>
      <c r="E123" s="765"/>
      <c r="F123" s="768"/>
      <c r="G123" s="40" t="s">
        <v>68</v>
      </c>
      <c r="H123" s="62"/>
      <c r="I123" s="42"/>
      <c r="J123" s="42"/>
      <c r="K123" s="42"/>
      <c r="L123" s="43"/>
      <c r="M123" s="65"/>
      <c r="N123" s="63"/>
      <c r="O123" s="63"/>
      <c r="P123" s="46"/>
      <c r="Q123" s="711"/>
      <c r="R123" s="499"/>
      <c r="S123" s="499"/>
      <c r="U123" s="697"/>
      <c r="V123" s="689"/>
      <c r="W123" s="507"/>
      <c r="X123" s="507"/>
      <c r="Y123" s="584">
        <v>46137</v>
      </c>
      <c r="Z123" s="62"/>
      <c r="AA123" s="42"/>
      <c r="AB123" s="42"/>
      <c r="AC123" s="68"/>
      <c r="AE123" s="337"/>
      <c r="AG123" s="763"/>
    </row>
    <row r="124" spans="1:33" ht="24.75" hidden="1" thickTop="1" thickBot="1">
      <c r="A124" s="769"/>
      <c r="B124" s="769"/>
      <c r="C124" s="777"/>
      <c r="D124" s="766"/>
      <c r="E124" s="771" t="s">
        <v>90</v>
      </c>
      <c r="F124" s="767">
        <v>5</v>
      </c>
      <c r="G124" s="57" t="s">
        <v>66</v>
      </c>
      <c r="H124" s="58"/>
      <c r="I124" s="18"/>
      <c r="J124" s="18"/>
      <c r="K124" s="18"/>
      <c r="L124" s="19"/>
      <c r="M124" s="59"/>
      <c r="N124" s="18"/>
      <c r="O124" s="18"/>
      <c r="P124" s="38"/>
      <c r="Q124" s="712"/>
      <c r="R124" s="503"/>
      <c r="S124" s="509">
        <v>5</v>
      </c>
      <c r="U124" s="698"/>
      <c r="V124" s="690"/>
      <c r="W124" s="503"/>
      <c r="X124" s="503"/>
      <c r="Y124" s="504"/>
      <c r="Z124" s="58"/>
      <c r="AA124" s="18"/>
      <c r="AB124" s="18"/>
      <c r="AC124" s="25"/>
      <c r="AE124" s="338"/>
      <c r="AG124" s="78"/>
    </row>
    <row r="125" spans="1:33" ht="24" hidden="1" thickBot="1">
      <c r="A125" s="763"/>
      <c r="B125" s="763"/>
      <c r="C125" s="777"/>
      <c r="D125" s="770"/>
      <c r="E125" s="765"/>
      <c r="F125" s="768"/>
      <c r="G125" s="40" t="s">
        <v>68</v>
      </c>
      <c r="H125" s="62"/>
      <c r="I125" s="42"/>
      <c r="J125" s="42"/>
      <c r="K125" s="42"/>
      <c r="L125" s="43"/>
      <c r="M125" s="65"/>
      <c r="N125" s="63"/>
      <c r="O125" s="63"/>
      <c r="P125" s="46"/>
      <c r="Q125" s="711"/>
      <c r="R125" s="499"/>
      <c r="S125" s="514" t="s">
        <v>265</v>
      </c>
      <c r="U125" s="697"/>
      <c r="V125" s="689"/>
      <c r="W125" s="507"/>
      <c r="X125" s="507"/>
      <c r="Y125" s="500"/>
      <c r="Z125" s="62"/>
      <c r="AA125" s="42"/>
      <c r="AB125" s="42"/>
      <c r="AC125" s="68"/>
      <c r="AE125" s="337"/>
      <c r="AG125" s="80"/>
    </row>
    <row r="126" spans="1:33" ht="24.75" hidden="1" customHeight="1" thickTop="1" thickBot="1">
      <c r="A126" s="762">
        <v>12</v>
      </c>
      <c r="B126" s="762">
        <v>9</v>
      </c>
      <c r="C126" s="777"/>
      <c r="D126" s="764" t="s">
        <v>91</v>
      </c>
      <c r="E126" s="766" t="s">
        <v>65</v>
      </c>
      <c r="F126" s="767">
        <v>2000</v>
      </c>
      <c r="G126" s="57" t="s">
        <v>66</v>
      </c>
      <c r="H126" s="58"/>
      <c r="I126" s="18"/>
      <c r="J126" s="18"/>
      <c r="K126" s="18"/>
      <c r="L126" s="19"/>
      <c r="M126" s="59"/>
      <c r="N126" s="18"/>
      <c r="O126" s="18"/>
      <c r="P126" s="38"/>
      <c r="Q126" s="712"/>
      <c r="R126" s="503"/>
      <c r="S126" s="503"/>
      <c r="U126" s="698"/>
      <c r="V126" s="690"/>
      <c r="W126" s="503"/>
      <c r="X126" s="503"/>
      <c r="Y126" s="504"/>
      <c r="Z126" s="494">
        <v>720</v>
      </c>
      <c r="AA126" s="674">
        <v>1280</v>
      </c>
      <c r="AB126" s="18"/>
      <c r="AC126" s="25"/>
      <c r="AE126" s="338"/>
      <c r="AG126" s="762">
        <v>12</v>
      </c>
    </row>
    <row r="127" spans="1:33" ht="24" hidden="1" customHeight="1" thickBot="1">
      <c r="A127" s="763"/>
      <c r="B127" s="763"/>
      <c r="C127" s="777"/>
      <c r="D127" s="765"/>
      <c r="E127" s="765"/>
      <c r="F127" s="768"/>
      <c r="G127" s="40" t="s">
        <v>68</v>
      </c>
      <c r="H127" s="62"/>
      <c r="I127" s="42"/>
      <c r="J127" s="42"/>
      <c r="K127" s="42"/>
      <c r="L127" s="43"/>
      <c r="M127" s="65"/>
      <c r="N127" s="63"/>
      <c r="O127" s="63"/>
      <c r="P127" s="46"/>
      <c r="Q127" s="711"/>
      <c r="R127" s="499"/>
      <c r="S127" s="499"/>
      <c r="U127" s="697"/>
      <c r="V127" s="689"/>
      <c r="W127" s="507"/>
      <c r="X127" s="507"/>
      <c r="Y127" s="500"/>
      <c r="Z127" s="583">
        <v>46144</v>
      </c>
      <c r="AA127" s="584">
        <v>46150</v>
      </c>
      <c r="AB127" s="42"/>
      <c r="AC127" s="68"/>
      <c r="AE127" s="337"/>
      <c r="AG127" s="763"/>
    </row>
    <row r="128" spans="1:33" ht="24.75" hidden="1" customHeight="1" thickTop="1" thickBot="1">
      <c r="A128" s="762">
        <v>13</v>
      </c>
      <c r="B128" s="762">
        <v>10</v>
      </c>
      <c r="C128" s="777"/>
      <c r="D128" s="764" t="s">
        <v>92</v>
      </c>
      <c r="E128" s="766" t="s">
        <v>65</v>
      </c>
      <c r="F128" s="767">
        <v>1000</v>
      </c>
      <c r="G128" s="57" t="s">
        <v>66</v>
      </c>
      <c r="H128" s="58"/>
      <c r="I128" s="18"/>
      <c r="J128" s="18"/>
      <c r="K128" s="18"/>
      <c r="L128" s="19"/>
      <c r="M128" s="59"/>
      <c r="N128" s="18"/>
      <c r="O128" s="18"/>
      <c r="P128" s="38"/>
      <c r="Q128" s="712"/>
      <c r="R128" s="503"/>
      <c r="S128" s="503"/>
      <c r="U128" s="698"/>
      <c r="V128" s="690"/>
      <c r="W128" s="503"/>
      <c r="X128" s="503"/>
      <c r="Y128" s="504"/>
      <c r="Z128" s="58"/>
      <c r="AA128" s="674">
        <v>1000</v>
      </c>
      <c r="AB128" s="503"/>
      <c r="AC128" s="25"/>
      <c r="AE128" s="338"/>
      <c r="AG128" s="762">
        <v>13</v>
      </c>
    </row>
    <row r="129" spans="1:33" ht="24" hidden="1" customHeight="1" thickBot="1">
      <c r="A129" s="763"/>
      <c r="B129" s="763"/>
      <c r="C129" s="778"/>
      <c r="D129" s="765"/>
      <c r="E129" s="765"/>
      <c r="F129" s="768"/>
      <c r="G129" s="40" t="s">
        <v>68</v>
      </c>
      <c r="H129" s="62"/>
      <c r="I129" s="81"/>
      <c r="J129" s="81"/>
      <c r="K129" s="81"/>
      <c r="L129" s="82"/>
      <c r="M129" s="62"/>
      <c r="N129" s="83"/>
      <c r="O129" s="83"/>
      <c r="P129" s="687"/>
      <c r="Q129" s="715"/>
      <c r="R129" s="516"/>
      <c r="S129" s="516"/>
      <c r="U129" s="697"/>
      <c r="V129" s="689"/>
      <c r="W129" s="507"/>
      <c r="X129" s="507"/>
      <c r="Y129" s="500"/>
      <c r="Z129" s="62"/>
      <c r="AA129" s="584">
        <v>46154</v>
      </c>
      <c r="AB129" s="507"/>
      <c r="AC129" s="68"/>
      <c r="AD129" s="69"/>
      <c r="AE129" s="337"/>
      <c r="AG129" s="763"/>
    </row>
    <row r="130" spans="1:33">
      <c r="A130" s="708"/>
      <c r="B130" s="708"/>
      <c r="C130" s="708"/>
      <c r="D130" s="708"/>
      <c r="E130" s="708"/>
      <c r="F130" s="708"/>
      <c r="G130" s="708"/>
      <c r="H130" s="708"/>
      <c r="I130" s="708"/>
      <c r="J130" s="708"/>
      <c r="K130" s="708"/>
      <c r="L130" s="708"/>
      <c r="M130" s="708"/>
      <c r="N130" s="708"/>
      <c r="O130" s="708"/>
      <c r="P130" s="708"/>
      <c r="Q130" s="708"/>
      <c r="R130" s="708"/>
      <c r="S130" s="708"/>
      <c r="T130" s="708"/>
      <c r="U130" s="708"/>
      <c r="V130" s="708"/>
      <c r="W130" s="708"/>
      <c r="X130" s="708"/>
      <c r="Y130" s="708"/>
      <c r="Z130" s="708"/>
      <c r="AA130" s="708"/>
      <c r="AB130" s="708"/>
    </row>
  </sheetData>
  <mergeCells count="299">
    <mergeCell ref="AC104:AC106"/>
    <mergeCell ref="AE104:AG106"/>
    <mergeCell ref="B100:B101"/>
    <mergeCell ref="D100:D101"/>
    <mergeCell ref="E100:E101"/>
    <mergeCell ref="F100:F101"/>
    <mergeCell ref="B102:B103"/>
    <mergeCell ref="D102:D103"/>
    <mergeCell ref="E102:E103"/>
    <mergeCell ref="F102:F103"/>
    <mergeCell ref="V106:Y106"/>
    <mergeCell ref="B84:B85"/>
    <mergeCell ref="D84:D85"/>
    <mergeCell ref="E84:E85"/>
    <mergeCell ref="F84:F85"/>
    <mergeCell ref="B86:B87"/>
    <mergeCell ref="D86:D87"/>
    <mergeCell ref="E86:E87"/>
    <mergeCell ref="F86:F87"/>
    <mergeCell ref="B96:B99"/>
    <mergeCell ref="D96:D99"/>
    <mergeCell ref="E96:E97"/>
    <mergeCell ref="F96:F97"/>
    <mergeCell ref="E98:E99"/>
    <mergeCell ref="F98:F99"/>
    <mergeCell ref="B92:B93"/>
    <mergeCell ref="D92:D93"/>
    <mergeCell ref="E92:E93"/>
    <mergeCell ref="F92:F93"/>
    <mergeCell ref="B94:B95"/>
    <mergeCell ref="D94:D95"/>
    <mergeCell ref="E94:E95"/>
    <mergeCell ref="F94:F95"/>
    <mergeCell ref="M80:P80"/>
    <mergeCell ref="Q80:U80"/>
    <mergeCell ref="V80:Y80"/>
    <mergeCell ref="Z80:AC80"/>
    <mergeCell ref="B82:B83"/>
    <mergeCell ref="C82:C103"/>
    <mergeCell ref="D82:D83"/>
    <mergeCell ref="E82:E83"/>
    <mergeCell ref="F82:F83"/>
    <mergeCell ref="T82:T103"/>
    <mergeCell ref="B80:B81"/>
    <mergeCell ref="C80:C81"/>
    <mergeCell ref="D80:D81"/>
    <mergeCell ref="E80:E81"/>
    <mergeCell ref="F80:F81"/>
    <mergeCell ref="H80:L80"/>
    <mergeCell ref="B88:B89"/>
    <mergeCell ref="D88:D89"/>
    <mergeCell ref="E88:E89"/>
    <mergeCell ref="F88:F89"/>
    <mergeCell ref="B90:B91"/>
    <mergeCell ref="D90:D91"/>
    <mergeCell ref="E90:E91"/>
    <mergeCell ref="F90:F91"/>
    <mergeCell ref="D75:D76"/>
    <mergeCell ref="E75:E76"/>
    <mergeCell ref="F75:F76"/>
    <mergeCell ref="AG75:AG76"/>
    <mergeCell ref="A73:A74"/>
    <mergeCell ref="B73:B74"/>
    <mergeCell ref="D73:D74"/>
    <mergeCell ref="E73:E74"/>
    <mergeCell ref="F73:F74"/>
    <mergeCell ref="AG73:AG74"/>
    <mergeCell ref="A75:A76"/>
    <mergeCell ref="B75:B76"/>
    <mergeCell ref="AG69:AG70"/>
    <mergeCell ref="E71:E72"/>
    <mergeCell ref="F71:F72"/>
    <mergeCell ref="A67:A68"/>
    <mergeCell ref="B67:B68"/>
    <mergeCell ref="D67:D68"/>
    <mergeCell ref="E67:E68"/>
    <mergeCell ref="F67:F68"/>
    <mergeCell ref="AG67:AG68"/>
    <mergeCell ref="A69:A72"/>
    <mergeCell ref="B69:B72"/>
    <mergeCell ref="D69:D72"/>
    <mergeCell ref="E69:E70"/>
    <mergeCell ref="F69:F70"/>
    <mergeCell ref="AG65:AG66"/>
    <mergeCell ref="A61:A62"/>
    <mergeCell ref="B61:B62"/>
    <mergeCell ref="D61:D62"/>
    <mergeCell ref="E61:E62"/>
    <mergeCell ref="F61:F62"/>
    <mergeCell ref="A63:A64"/>
    <mergeCell ref="B63:B64"/>
    <mergeCell ref="D63:D64"/>
    <mergeCell ref="E63:E64"/>
    <mergeCell ref="F63:F64"/>
    <mergeCell ref="E65:E66"/>
    <mergeCell ref="F65:F66"/>
    <mergeCell ref="AG59:AG60"/>
    <mergeCell ref="AG55:AG56"/>
    <mergeCell ref="A57:A58"/>
    <mergeCell ref="B57:B58"/>
    <mergeCell ref="D57:D58"/>
    <mergeCell ref="E57:E58"/>
    <mergeCell ref="F57:F58"/>
    <mergeCell ref="AG57:AG58"/>
    <mergeCell ref="AG63:AG64"/>
    <mergeCell ref="A55:A56"/>
    <mergeCell ref="B55:B56"/>
    <mergeCell ref="C55:C76"/>
    <mergeCell ref="D55:D56"/>
    <mergeCell ref="E55:E56"/>
    <mergeCell ref="F55:F56"/>
    <mergeCell ref="T55:T76"/>
    <mergeCell ref="A59:A60"/>
    <mergeCell ref="B59:B60"/>
    <mergeCell ref="D59:D60"/>
    <mergeCell ref="E59:E60"/>
    <mergeCell ref="F59:F60"/>
    <mergeCell ref="A65:A66"/>
    <mergeCell ref="B65:B66"/>
    <mergeCell ref="D65:D66"/>
    <mergeCell ref="X44:Y44"/>
    <mergeCell ref="AB44:AC44"/>
    <mergeCell ref="A53:A54"/>
    <mergeCell ref="B53:B54"/>
    <mergeCell ref="C53:C54"/>
    <mergeCell ref="D53:D54"/>
    <mergeCell ref="E53:E54"/>
    <mergeCell ref="F53:F54"/>
    <mergeCell ref="H53:L53"/>
    <mergeCell ref="M53:P53"/>
    <mergeCell ref="Q53:U53"/>
    <mergeCell ref="V53:Y53"/>
    <mergeCell ref="Z53:AC53"/>
    <mergeCell ref="A41:B42"/>
    <mergeCell ref="C41:F42"/>
    <mergeCell ref="M41:M42"/>
    <mergeCell ref="N41:N42"/>
    <mergeCell ref="B44:C45"/>
    <mergeCell ref="E44:E45"/>
    <mergeCell ref="F44:I44"/>
    <mergeCell ref="J44:N44"/>
    <mergeCell ref="A39:A40"/>
    <mergeCell ref="B39:B40"/>
    <mergeCell ref="D39:D40"/>
    <mergeCell ref="E39:E40"/>
    <mergeCell ref="F39:F40"/>
    <mergeCell ref="AG39:AG40"/>
    <mergeCell ref="A37:A38"/>
    <mergeCell ref="B37:B38"/>
    <mergeCell ref="D37:D38"/>
    <mergeCell ref="E37:E38"/>
    <mergeCell ref="F37:F38"/>
    <mergeCell ref="AG37:AG38"/>
    <mergeCell ref="A33:A36"/>
    <mergeCell ref="B33:B36"/>
    <mergeCell ref="D33:D36"/>
    <mergeCell ref="E33:E34"/>
    <mergeCell ref="F33:F34"/>
    <mergeCell ref="AG33:AG34"/>
    <mergeCell ref="E35:E36"/>
    <mergeCell ref="F35:F36"/>
    <mergeCell ref="AG29:AG30"/>
    <mergeCell ref="A31:A32"/>
    <mergeCell ref="B31:B32"/>
    <mergeCell ref="D31:D32"/>
    <mergeCell ref="E31:E32"/>
    <mergeCell ref="F31:F32"/>
    <mergeCell ref="AG31:AG32"/>
    <mergeCell ref="B27:B28"/>
    <mergeCell ref="D27:D28"/>
    <mergeCell ref="E27:E28"/>
    <mergeCell ref="F27:F28"/>
    <mergeCell ref="AG27:AG28"/>
    <mergeCell ref="A29:A30"/>
    <mergeCell ref="B29:B30"/>
    <mergeCell ref="D29:D30"/>
    <mergeCell ref="E29:E30"/>
    <mergeCell ref="F29:F30"/>
    <mergeCell ref="AG23:AG24"/>
    <mergeCell ref="A25:A26"/>
    <mergeCell ref="B25:B26"/>
    <mergeCell ref="D25:D26"/>
    <mergeCell ref="E25:E26"/>
    <mergeCell ref="F25:F26"/>
    <mergeCell ref="T19:T42"/>
    <mergeCell ref="AG19:AG20"/>
    <mergeCell ref="A21:A22"/>
    <mergeCell ref="B21:B22"/>
    <mergeCell ref="D21:D22"/>
    <mergeCell ref="E21:E22"/>
    <mergeCell ref="F21:F22"/>
    <mergeCell ref="AG21:AG22"/>
    <mergeCell ref="A23:A24"/>
    <mergeCell ref="B23:B24"/>
    <mergeCell ref="A19:A20"/>
    <mergeCell ref="B19:B20"/>
    <mergeCell ref="C19:C40"/>
    <mergeCell ref="D19:D20"/>
    <mergeCell ref="E19:E20"/>
    <mergeCell ref="F19:F20"/>
    <mergeCell ref="D23:D24"/>
    <mergeCell ref="E23:E24"/>
    <mergeCell ref="F23:F24"/>
    <mergeCell ref="A27:A28"/>
    <mergeCell ref="H17:L17"/>
    <mergeCell ref="M17:P17"/>
    <mergeCell ref="Q17:U17"/>
    <mergeCell ref="V17:Y17"/>
    <mergeCell ref="Z17:AC17"/>
    <mergeCell ref="AE17:AE18"/>
    <mergeCell ref="A17:A18"/>
    <mergeCell ref="B17:B18"/>
    <mergeCell ref="C17:C18"/>
    <mergeCell ref="D17:D18"/>
    <mergeCell ref="E17:E18"/>
    <mergeCell ref="F17:F18"/>
    <mergeCell ref="V8:Y8"/>
    <mergeCell ref="Z8:AC8"/>
    <mergeCell ref="B10:B13"/>
    <mergeCell ref="C10:C13"/>
    <mergeCell ref="E10:E13"/>
    <mergeCell ref="F10:F13"/>
    <mergeCell ref="B8:B9"/>
    <mergeCell ref="C8:C9"/>
    <mergeCell ref="E8:E9"/>
    <mergeCell ref="F8:F9"/>
    <mergeCell ref="H8:L8"/>
    <mergeCell ref="M8:P8"/>
    <mergeCell ref="A106:A107"/>
    <mergeCell ref="B106:B107"/>
    <mergeCell ref="C106:C107"/>
    <mergeCell ref="D106:D107"/>
    <mergeCell ref="E106:E107"/>
    <mergeCell ref="F106:F107"/>
    <mergeCell ref="H106:L106"/>
    <mergeCell ref="M106:P106"/>
    <mergeCell ref="Q106:U106"/>
    <mergeCell ref="A108:A109"/>
    <mergeCell ref="B108:B109"/>
    <mergeCell ref="C108:C129"/>
    <mergeCell ref="D108:D109"/>
    <mergeCell ref="E108:E109"/>
    <mergeCell ref="F108:F109"/>
    <mergeCell ref="AG108:AG109"/>
    <mergeCell ref="A110:A111"/>
    <mergeCell ref="B110:B111"/>
    <mergeCell ref="D110:D111"/>
    <mergeCell ref="E110:E111"/>
    <mergeCell ref="F110:F111"/>
    <mergeCell ref="AG110:AG111"/>
    <mergeCell ref="A112:A113"/>
    <mergeCell ref="B112:B113"/>
    <mergeCell ref="D112:D113"/>
    <mergeCell ref="E112:E113"/>
    <mergeCell ref="F112:F113"/>
    <mergeCell ref="AG112:AG113"/>
    <mergeCell ref="A114:A115"/>
    <mergeCell ref="B114:B115"/>
    <mergeCell ref="D114:D115"/>
    <mergeCell ref="E114:E115"/>
    <mergeCell ref="F114:F115"/>
    <mergeCell ref="A116:A117"/>
    <mergeCell ref="B116:B117"/>
    <mergeCell ref="D116:D117"/>
    <mergeCell ref="E116:E117"/>
    <mergeCell ref="F116:F117"/>
    <mergeCell ref="AG116:AG117"/>
    <mergeCell ref="A118:A119"/>
    <mergeCell ref="B118:B119"/>
    <mergeCell ref="D118:D119"/>
    <mergeCell ref="E118:E119"/>
    <mergeCell ref="F118:F119"/>
    <mergeCell ref="AG118:AG119"/>
    <mergeCell ref="A120:A121"/>
    <mergeCell ref="B120:B121"/>
    <mergeCell ref="D120:D121"/>
    <mergeCell ref="E120:E121"/>
    <mergeCell ref="F120:F121"/>
    <mergeCell ref="AG120:AG121"/>
    <mergeCell ref="A122:A125"/>
    <mergeCell ref="B122:B125"/>
    <mergeCell ref="D122:D125"/>
    <mergeCell ref="E122:E123"/>
    <mergeCell ref="F122:F123"/>
    <mergeCell ref="AG122:AG123"/>
    <mergeCell ref="E124:E125"/>
    <mergeCell ref="F124:F125"/>
    <mergeCell ref="A126:A127"/>
    <mergeCell ref="B126:B127"/>
    <mergeCell ref="D126:D127"/>
    <mergeCell ref="E126:E127"/>
    <mergeCell ref="F126:F127"/>
    <mergeCell ref="AG126:AG127"/>
    <mergeCell ref="A128:A129"/>
    <mergeCell ref="B128:B129"/>
    <mergeCell ref="D128:D129"/>
    <mergeCell ref="E128:E129"/>
    <mergeCell ref="F128:F129"/>
    <mergeCell ref="AG128:AG1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V91"/>
  <sheetViews>
    <sheetView topLeftCell="A27" zoomScale="80" zoomScaleNormal="80" zoomScaleSheetLayoutView="70" workbookViewId="0">
      <pane xSplit="15" topLeftCell="P1" activePane="topRight" state="frozen"/>
      <selection pane="topRight" activeCell="AA34" sqref="AA34"/>
    </sheetView>
  </sheetViews>
  <sheetFormatPr defaultColWidth="6.08203125" defaultRowHeight="18" customHeight="1"/>
  <cols>
    <col min="1" max="1" width="0.9140625" style="245" customWidth="1"/>
    <col min="2" max="2" width="2.6640625" style="245" customWidth="1"/>
    <col min="3" max="3" width="10.25" style="245" customWidth="1"/>
    <col min="4" max="4" width="10.6640625" style="245" customWidth="1"/>
    <col min="5" max="5" width="9.1640625" style="245" customWidth="1"/>
    <col min="6" max="6" width="9.75" style="245" customWidth="1"/>
    <col min="7" max="7" width="3.75" style="245" customWidth="1"/>
    <col min="8" max="8" width="5.25" style="245" customWidth="1"/>
    <col min="9" max="13" width="3.5" style="245" customWidth="1"/>
    <col min="14" max="14" width="6.1640625" style="245" customWidth="1"/>
    <col min="15" max="15" width="5.9140625" style="245" customWidth="1"/>
    <col min="16" max="46" width="3.4140625" style="245" customWidth="1"/>
    <col min="47" max="47" width="0.9140625" style="245" customWidth="1"/>
    <col min="48" max="48" width="7.58203125" style="245" customWidth="1"/>
    <col min="49" max="16384" width="6.08203125" style="245"/>
  </cols>
  <sheetData>
    <row r="1" spans="2:48" ht="9.9499999999999993" customHeight="1"/>
    <row r="2" spans="2:48" ht="18" customHeight="1">
      <c r="D2" s="246" t="s">
        <v>192</v>
      </c>
    </row>
    <row r="3" spans="2:48" ht="18" customHeight="1">
      <c r="D3" s="247" t="s">
        <v>193</v>
      </c>
      <c r="V3" s="869"/>
      <c r="W3" s="869"/>
    </row>
    <row r="4" spans="2:48" ht="5.25" customHeight="1"/>
    <row r="5" spans="2:48" s="248" customFormat="1" ht="16.5" customHeight="1" thickBot="1">
      <c r="E5" s="249" t="s">
        <v>194</v>
      </c>
      <c r="F5" s="250">
        <f>I5-N5</f>
        <v>7</v>
      </c>
      <c r="G5" s="251"/>
      <c r="H5" s="249" t="s">
        <v>195</v>
      </c>
      <c r="I5" s="854">
        <v>20</v>
      </c>
      <c r="J5" s="854"/>
      <c r="K5" s="252"/>
      <c r="M5" s="249" t="s">
        <v>196</v>
      </c>
      <c r="N5" s="855">
        <f>COUNT(P7:AP7)</f>
        <v>13</v>
      </c>
      <c r="O5" s="855"/>
      <c r="P5" s="253" t="s">
        <v>119</v>
      </c>
      <c r="Q5" s="253" t="s">
        <v>120</v>
      </c>
      <c r="R5" s="253" t="s">
        <v>121</v>
      </c>
      <c r="S5" s="253" t="s">
        <v>122</v>
      </c>
      <c r="T5" s="253" t="s">
        <v>121</v>
      </c>
      <c r="U5" s="253" t="s">
        <v>123</v>
      </c>
      <c r="V5" s="253" t="s">
        <v>119</v>
      </c>
      <c r="W5" s="253" t="s">
        <v>119</v>
      </c>
      <c r="X5" s="253" t="s">
        <v>120</v>
      </c>
      <c r="Y5" s="253" t="s">
        <v>121</v>
      </c>
      <c r="Z5" s="253" t="s">
        <v>122</v>
      </c>
      <c r="AA5" s="253" t="s">
        <v>121</v>
      </c>
      <c r="AB5" s="253" t="s">
        <v>123</v>
      </c>
      <c r="AC5" s="253" t="s">
        <v>119</v>
      </c>
      <c r="AD5" s="253" t="s">
        <v>119</v>
      </c>
      <c r="AE5" s="253" t="s">
        <v>120</v>
      </c>
      <c r="AF5" s="253" t="s">
        <v>121</v>
      </c>
      <c r="AG5" s="253" t="s">
        <v>122</v>
      </c>
      <c r="AH5" s="253" t="s">
        <v>121</v>
      </c>
      <c r="AI5" s="253" t="s">
        <v>123</v>
      </c>
      <c r="AJ5" s="253" t="s">
        <v>119</v>
      </c>
      <c r="AK5" s="253" t="s">
        <v>119</v>
      </c>
      <c r="AL5" s="253" t="s">
        <v>120</v>
      </c>
      <c r="AM5" s="253" t="s">
        <v>121</v>
      </c>
      <c r="AN5" s="253" t="s">
        <v>122</v>
      </c>
      <c r="AO5" s="253" t="s">
        <v>121</v>
      </c>
      <c r="AP5" s="253" t="s">
        <v>123</v>
      </c>
      <c r="AQ5" s="253" t="s">
        <v>119</v>
      </c>
      <c r="AR5" s="245"/>
      <c r="AS5" s="245"/>
      <c r="AT5" s="245"/>
    </row>
    <row r="6" spans="2:48" s="260" customFormat="1" ht="18" customHeight="1" thickBot="1">
      <c r="B6" s="856" t="s">
        <v>115</v>
      </c>
      <c r="C6" s="858" t="s">
        <v>117</v>
      </c>
      <c r="D6" s="858" t="s">
        <v>116</v>
      </c>
      <c r="E6" s="858" t="s">
        <v>197</v>
      </c>
      <c r="F6" s="858"/>
      <c r="G6" s="858"/>
      <c r="H6" s="860" t="s">
        <v>198</v>
      </c>
      <c r="I6" s="861" t="s">
        <v>199</v>
      </c>
      <c r="J6" s="862"/>
      <c r="K6" s="862"/>
      <c r="L6" s="862"/>
      <c r="M6" s="862"/>
      <c r="N6" s="863"/>
      <c r="O6" s="867" t="s">
        <v>200</v>
      </c>
      <c r="P6" s="254">
        <v>1</v>
      </c>
      <c r="Q6" s="255">
        <v>2</v>
      </c>
      <c r="R6" s="255">
        <v>3</v>
      </c>
      <c r="S6" s="255">
        <v>4</v>
      </c>
      <c r="T6" s="255">
        <v>5</v>
      </c>
      <c r="U6" s="255">
        <v>6</v>
      </c>
      <c r="V6" s="256">
        <v>7</v>
      </c>
      <c r="W6" s="257">
        <v>8</v>
      </c>
      <c r="X6" s="255">
        <v>9</v>
      </c>
      <c r="Y6" s="255">
        <v>10</v>
      </c>
      <c r="Z6" s="255">
        <v>11</v>
      </c>
      <c r="AA6" s="255">
        <v>12</v>
      </c>
      <c r="AB6" s="255">
        <v>13</v>
      </c>
      <c r="AC6" s="256">
        <v>14</v>
      </c>
      <c r="AD6" s="257">
        <v>15</v>
      </c>
      <c r="AE6" s="258">
        <v>16</v>
      </c>
      <c r="AF6" s="257">
        <v>17</v>
      </c>
      <c r="AG6" s="255">
        <v>18</v>
      </c>
      <c r="AH6" s="255">
        <v>19</v>
      </c>
      <c r="AI6" s="255">
        <v>20</v>
      </c>
      <c r="AJ6" s="256">
        <v>21</v>
      </c>
      <c r="AK6" s="257">
        <v>22</v>
      </c>
      <c r="AL6" s="255">
        <v>23</v>
      </c>
      <c r="AM6" s="255">
        <v>24</v>
      </c>
      <c r="AN6" s="255">
        <v>25</v>
      </c>
      <c r="AO6" s="255">
        <v>26</v>
      </c>
      <c r="AP6" s="255">
        <v>27</v>
      </c>
      <c r="AQ6" s="259">
        <v>28</v>
      </c>
      <c r="AR6" s="245"/>
      <c r="AS6" s="245"/>
      <c r="AT6" s="245"/>
    </row>
    <row r="7" spans="2:48" s="260" customFormat="1" ht="17.25" customHeight="1" thickBot="1">
      <c r="B7" s="857"/>
      <c r="C7" s="859"/>
      <c r="D7" s="859"/>
      <c r="E7" s="261" t="s">
        <v>201</v>
      </c>
      <c r="F7" s="261" t="s">
        <v>202</v>
      </c>
      <c r="G7" s="261" t="s">
        <v>203</v>
      </c>
      <c r="H7" s="859"/>
      <c r="I7" s="864"/>
      <c r="J7" s="865"/>
      <c r="K7" s="865"/>
      <c r="L7" s="865"/>
      <c r="M7" s="865"/>
      <c r="N7" s="866"/>
      <c r="O7" s="868"/>
      <c r="P7" s="262"/>
      <c r="Q7" s="263"/>
      <c r="R7" s="263"/>
      <c r="S7" s="263"/>
      <c r="T7" s="263"/>
      <c r="U7" s="263"/>
      <c r="V7" s="263"/>
      <c r="W7" s="263"/>
      <c r="X7" s="263">
        <v>2</v>
      </c>
      <c r="Y7" s="263">
        <v>2</v>
      </c>
      <c r="Z7" s="263">
        <v>2</v>
      </c>
      <c r="AA7" s="263">
        <v>2</v>
      </c>
      <c r="AB7" s="263">
        <v>2</v>
      </c>
      <c r="AC7" s="263">
        <v>2</v>
      </c>
      <c r="AD7" s="263"/>
      <c r="AE7" s="263">
        <v>2</v>
      </c>
      <c r="AF7" s="263">
        <v>2</v>
      </c>
      <c r="AG7" s="263">
        <v>2</v>
      </c>
      <c r="AH7" s="263">
        <v>2</v>
      </c>
      <c r="AI7" s="263">
        <v>1</v>
      </c>
      <c r="AJ7" s="263"/>
      <c r="AK7" s="263"/>
      <c r="AL7" s="263"/>
      <c r="AM7" s="263"/>
      <c r="AN7" s="263"/>
      <c r="AO7" s="263">
        <v>2</v>
      </c>
      <c r="AP7" s="263">
        <v>2</v>
      </c>
      <c r="AQ7" s="264">
        <v>2</v>
      </c>
      <c r="AR7" s="245"/>
      <c r="AS7" s="245"/>
      <c r="AT7" s="245"/>
    </row>
    <row r="8" spans="2:48" s="260" customFormat="1" ht="30" customHeight="1">
      <c r="B8" s="853" t="s">
        <v>41</v>
      </c>
      <c r="C8" s="882" t="s">
        <v>256</v>
      </c>
      <c r="D8" s="882" t="s">
        <v>127</v>
      </c>
      <c r="E8" s="882" t="s">
        <v>204</v>
      </c>
      <c r="F8" s="882" t="s">
        <v>205</v>
      </c>
      <c r="G8" s="882">
        <v>35</v>
      </c>
      <c r="H8" s="882">
        <v>1000</v>
      </c>
      <c r="I8" s="844" t="s">
        <v>206</v>
      </c>
      <c r="J8" s="845"/>
      <c r="K8" s="845"/>
      <c r="L8" s="845"/>
      <c r="M8" s="845"/>
      <c r="N8" s="846"/>
      <c r="O8" s="265">
        <f>SUM(P8:AP8)</f>
        <v>450</v>
      </c>
      <c r="P8" s="266"/>
      <c r="Q8" s="267"/>
      <c r="R8" s="267"/>
      <c r="S8" s="267"/>
      <c r="T8" s="267"/>
      <c r="U8" s="267">
        <v>150</v>
      </c>
      <c r="V8" s="267"/>
      <c r="W8" s="267"/>
      <c r="X8" s="267">
        <v>160</v>
      </c>
      <c r="Y8" s="267">
        <v>140</v>
      </c>
      <c r="Z8" s="267"/>
      <c r="AA8" s="267"/>
      <c r="AB8" s="267"/>
      <c r="AC8" s="267"/>
      <c r="AD8" s="268"/>
      <c r="AE8" s="268"/>
      <c r="AF8" s="268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9"/>
    </row>
    <row r="9" spans="2:48" s="260" customFormat="1" ht="30" customHeight="1">
      <c r="B9" s="840"/>
      <c r="C9" s="842"/>
      <c r="D9" s="842"/>
      <c r="E9" s="842"/>
      <c r="F9" s="842"/>
      <c r="G9" s="842"/>
      <c r="H9" s="842"/>
      <c r="I9" s="847" t="s">
        <v>207</v>
      </c>
      <c r="J9" s="848"/>
      <c r="K9" s="848"/>
      <c r="L9" s="848"/>
      <c r="M9" s="848"/>
      <c r="N9" s="849"/>
      <c r="O9" s="270">
        <f>SUM(P9:AQ9)</f>
        <v>460</v>
      </c>
      <c r="P9" s="271"/>
      <c r="Q9" s="272"/>
      <c r="R9" s="272"/>
      <c r="S9" s="272"/>
      <c r="T9" s="272"/>
      <c r="U9" s="272"/>
      <c r="V9" s="272"/>
      <c r="W9" s="272"/>
      <c r="X9" s="272">
        <v>240</v>
      </c>
      <c r="Y9" s="272">
        <v>220</v>
      </c>
      <c r="Z9" s="272"/>
      <c r="AA9" s="272"/>
      <c r="AB9" s="272"/>
      <c r="AC9" s="272"/>
      <c r="AD9" s="273"/>
      <c r="AE9" s="273"/>
      <c r="AF9" s="273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4"/>
    </row>
    <row r="10" spans="2:48" s="280" customFormat="1" ht="30" customHeight="1">
      <c r="B10" s="839" t="s">
        <v>42</v>
      </c>
      <c r="C10" s="843" t="s">
        <v>257</v>
      </c>
      <c r="D10" s="843" t="s">
        <v>127</v>
      </c>
      <c r="E10" s="843" t="s">
        <v>138</v>
      </c>
      <c r="F10" s="843" t="s">
        <v>208</v>
      </c>
      <c r="G10" s="843">
        <v>50</v>
      </c>
      <c r="H10" s="843">
        <v>1000</v>
      </c>
      <c r="I10" s="844" t="s">
        <v>206</v>
      </c>
      <c r="J10" s="845"/>
      <c r="K10" s="845"/>
      <c r="L10" s="845"/>
      <c r="M10" s="845"/>
      <c r="N10" s="846"/>
      <c r="O10" s="275">
        <f>SUM(P10:AP10)</f>
        <v>1000</v>
      </c>
      <c r="P10" s="276"/>
      <c r="Q10" s="277"/>
      <c r="R10" s="277"/>
      <c r="S10" s="277"/>
      <c r="T10" s="277"/>
      <c r="U10" s="277"/>
      <c r="V10" s="277"/>
      <c r="W10" s="277"/>
      <c r="X10" s="277"/>
      <c r="Y10" s="277">
        <v>80</v>
      </c>
      <c r="Z10" s="277">
        <v>240</v>
      </c>
      <c r="AA10" s="277">
        <v>240</v>
      </c>
      <c r="AB10" s="277">
        <v>240</v>
      </c>
      <c r="AC10" s="277">
        <v>200</v>
      </c>
      <c r="AD10" s="278"/>
      <c r="AE10" s="278"/>
      <c r="AF10" s="278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9"/>
    </row>
    <row r="11" spans="2:48" s="280" customFormat="1" ht="30" customHeight="1">
      <c r="B11" s="840"/>
      <c r="C11" s="842"/>
      <c r="D11" s="842"/>
      <c r="E11" s="842"/>
      <c r="F11" s="842"/>
      <c r="G11" s="842"/>
      <c r="H11" s="842"/>
      <c r="I11" s="847" t="s">
        <v>207</v>
      </c>
      <c r="J11" s="848"/>
      <c r="K11" s="848"/>
      <c r="L11" s="848"/>
      <c r="M11" s="848"/>
      <c r="N11" s="849"/>
      <c r="O11" s="270">
        <f>SUM(P11:AQ11)</f>
        <v>960</v>
      </c>
      <c r="P11" s="271"/>
      <c r="Q11" s="272"/>
      <c r="R11" s="272"/>
      <c r="S11" s="272"/>
      <c r="T11" s="272"/>
      <c r="U11" s="272"/>
      <c r="V11" s="272"/>
      <c r="W11" s="272"/>
      <c r="X11" s="272"/>
      <c r="Y11" s="272">
        <v>60</v>
      </c>
      <c r="Z11" s="272">
        <v>240</v>
      </c>
      <c r="AA11" s="272">
        <v>240</v>
      </c>
      <c r="AB11" s="272">
        <v>240</v>
      </c>
      <c r="AC11" s="272">
        <v>180</v>
      </c>
      <c r="AD11" s="273"/>
      <c r="AE11" s="273"/>
      <c r="AF11" s="273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4"/>
    </row>
    <row r="12" spans="2:48" s="280" customFormat="1" ht="30" customHeight="1">
      <c r="B12" s="839" t="s">
        <v>44</v>
      </c>
      <c r="C12" s="843" t="s">
        <v>258</v>
      </c>
      <c r="D12" s="843" t="s">
        <v>127</v>
      </c>
      <c r="E12" s="843" t="s">
        <v>204</v>
      </c>
      <c r="F12" s="843" t="s">
        <v>205</v>
      </c>
      <c r="G12" s="843">
        <v>35</v>
      </c>
      <c r="H12" s="843">
        <v>500</v>
      </c>
      <c r="I12" s="844" t="s">
        <v>206</v>
      </c>
      <c r="J12" s="845"/>
      <c r="K12" s="845"/>
      <c r="L12" s="845"/>
      <c r="M12" s="845"/>
      <c r="N12" s="846"/>
      <c r="O12" s="275">
        <f>SUM(P12:AQ12)</f>
        <v>500</v>
      </c>
      <c r="P12" s="276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8"/>
      <c r="AE12" s="278"/>
      <c r="AF12" s="278"/>
      <c r="AG12" s="277">
        <v>180</v>
      </c>
      <c r="AH12" s="277">
        <v>240</v>
      </c>
      <c r="AI12" s="277">
        <v>80</v>
      </c>
      <c r="AJ12" s="277"/>
      <c r="AK12" s="277"/>
      <c r="AL12" s="277"/>
      <c r="AM12" s="277"/>
      <c r="AN12" s="277"/>
      <c r="AO12" s="277"/>
      <c r="AP12" s="277"/>
      <c r="AQ12" s="279"/>
    </row>
    <row r="13" spans="2:48" s="280" customFormat="1" ht="30" customHeight="1" thickBot="1">
      <c r="B13" s="840"/>
      <c r="C13" s="842"/>
      <c r="D13" s="842"/>
      <c r="E13" s="842"/>
      <c r="F13" s="842"/>
      <c r="G13" s="842"/>
      <c r="H13" s="842"/>
      <c r="I13" s="847" t="s">
        <v>207</v>
      </c>
      <c r="J13" s="848"/>
      <c r="K13" s="848"/>
      <c r="L13" s="848"/>
      <c r="M13" s="848"/>
      <c r="N13" s="849"/>
      <c r="O13" s="270">
        <f>SUM(P13:AQ13)</f>
        <v>320</v>
      </c>
      <c r="P13" s="271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3"/>
      <c r="AE13" s="273"/>
      <c r="AF13" s="273"/>
      <c r="AG13" s="272">
        <v>60</v>
      </c>
      <c r="AH13" s="272">
        <v>140</v>
      </c>
      <c r="AI13" s="272">
        <v>120</v>
      </c>
      <c r="AJ13" s="272"/>
      <c r="AK13" s="272"/>
      <c r="AL13" s="272"/>
      <c r="AM13" s="272"/>
      <c r="AN13" s="272"/>
      <c r="AO13" s="272"/>
      <c r="AP13" s="272"/>
      <c r="AQ13" s="274"/>
    </row>
    <row r="14" spans="2:48" s="260" customFormat="1" ht="30" customHeight="1">
      <c r="B14" s="853" t="s">
        <v>255</v>
      </c>
      <c r="C14" s="843" t="s">
        <v>259</v>
      </c>
      <c r="D14" s="843" t="s">
        <v>127</v>
      </c>
      <c r="E14" s="843" t="s">
        <v>204</v>
      </c>
      <c r="F14" s="843" t="s">
        <v>205</v>
      </c>
      <c r="G14" s="843">
        <v>35</v>
      </c>
      <c r="H14" s="843">
        <v>1500</v>
      </c>
      <c r="I14" s="844" t="s">
        <v>206</v>
      </c>
      <c r="J14" s="845"/>
      <c r="K14" s="845"/>
      <c r="L14" s="845"/>
      <c r="M14" s="845"/>
      <c r="N14" s="846"/>
      <c r="O14" s="275">
        <f>SUM(P14:AQ14)</f>
        <v>0</v>
      </c>
      <c r="P14" s="281"/>
      <c r="Q14" s="277"/>
      <c r="R14" s="277"/>
      <c r="S14" s="277"/>
      <c r="T14" s="277"/>
      <c r="U14" s="277"/>
      <c r="V14" s="282"/>
      <c r="W14" s="282"/>
      <c r="X14" s="282"/>
      <c r="Y14" s="282"/>
      <c r="Z14" s="282"/>
      <c r="AA14" s="282"/>
      <c r="AB14" s="282"/>
      <c r="AC14" s="282"/>
      <c r="AD14" s="283"/>
      <c r="AE14" s="283"/>
      <c r="AF14" s="283"/>
      <c r="AG14" s="282"/>
      <c r="AH14" s="282"/>
      <c r="AI14" s="282"/>
      <c r="AJ14" s="282"/>
      <c r="AK14" s="282"/>
      <c r="AL14" s="277"/>
      <c r="AM14" s="277"/>
      <c r="AN14" s="277"/>
      <c r="AO14" s="277"/>
      <c r="AP14" s="277"/>
      <c r="AQ14" s="279"/>
      <c r="AR14" s="280"/>
      <c r="AS14" s="280"/>
      <c r="AT14" s="280"/>
      <c r="AU14" s="280"/>
      <c r="AV14" s="280"/>
    </row>
    <row r="15" spans="2:48" s="260" customFormat="1" ht="30" customHeight="1" thickBot="1">
      <c r="B15" s="840"/>
      <c r="C15" s="842"/>
      <c r="D15" s="842"/>
      <c r="E15" s="842"/>
      <c r="F15" s="842"/>
      <c r="G15" s="842"/>
      <c r="H15" s="842"/>
      <c r="I15" s="847" t="s">
        <v>207</v>
      </c>
      <c r="J15" s="848"/>
      <c r="K15" s="848"/>
      <c r="L15" s="848"/>
      <c r="M15" s="848"/>
      <c r="N15" s="849"/>
      <c r="O15" s="270">
        <f>SUM(P15:AQ15)</f>
        <v>0</v>
      </c>
      <c r="P15" s="271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3"/>
      <c r="AE15" s="273"/>
      <c r="AF15" s="273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4"/>
      <c r="AR15" s="280"/>
      <c r="AS15" s="280"/>
      <c r="AT15" s="280"/>
      <c r="AU15" s="280"/>
      <c r="AV15" s="280"/>
    </row>
    <row r="16" spans="2:48" s="280" customFormat="1" ht="18" hidden="1" customHeight="1">
      <c r="B16" s="839" t="s">
        <v>45</v>
      </c>
      <c r="C16" s="843" t="s">
        <v>209</v>
      </c>
      <c r="D16" s="843" t="s">
        <v>127</v>
      </c>
      <c r="E16" s="843" t="s">
        <v>138</v>
      </c>
      <c r="F16" s="843" t="s">
        <v>205</v>
      </c>
      <c r="G16" s="843">
        <v>50</v>
      </c>
      <c r="H16" s="843">
        <v>1000</v>
      </c>
      <c r="I16" s="875" t="s">
        <v>206</v>
      </c>
      <c r="J16" s="876"/>
      <c r="K16" s="876"/>
      <c r="L16" s="876"/>
      <c r="M16" s="876"/>
      <c r="N16" s="877"/>
      <c r="O16" s="284">
        <f>SUM(P16:AP16)</f>
        <v>0</v>
      </c>
      <c r="P16" s="276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9"/>
    </row>
    <row r="17" spans="2:47" s="280" customFormat="1" ht="18" hidden="1" customHeight="1" thickBot="1">
      <c r="B17" s="840"/>
      <c r="C17" s="842"/>
      <c r="D17" s="842"/>
      <c r="E17" s="842"/>
      <c r="F17" s="842"/>
      <c r="G17" s="842"/>
      <c r="H17" s="842"/>
      <c r="I17" s="878" t="s">
        <v>207</v>
      </c>
      <c r="J17" s="879"/>
      <c r="K17" s="879"/>
      <c r="L17" s="879"/>
      <c r="M17" s="879"/>
      <c r="N17" s="880"/>
      <c r="O17" s="270">
        <f>SUM(P17:AQ17)</f>
        <v>0</v>
      </c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7"/>
    </row>
    <row r="18" spans="2:47" s="260" customFormat="1" ht="18.75" hidden="1" customHeight="1">
      <c r="B18" s="288"/>
      <c r="C18" s="289"/>
      <c r="D18" s="289"/>
      <c r="E18" s="289"/>
      <c r="F18" s="289"/>
      <c r="G18" s="289"/>
      <c r="H18" s="289"/>
      <c r="I18" s="290"/>
      <c r="J18" s="290"/>
      <c r="K18" s="291"/>
      <c r="L18" s="291"/>
      <c r="M18" s="292"/>
      <c r="N18" s="293"/>
      <c r="O18" s="294"/>
      <c r="P18" s="281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95"/>
      <c r="AR18" s="296"/>
    </row>
    <row r="19" spans="2:47" s="260" customFormat="1" ht="18.75" hidden="1" customHeight="1">
      <c r="B19" s="288"/>
      <c r="C19" s="289"/>
      <c r="D19" s="289"/>
      <c r="E19" s="289"/>
      <c r="F19" s="289"/>
      <c r="G19" s="289"/>
      <c r="H19" s="289"/>
      <c r="I19" s="290"/>
      <c r="J19" s="290"/>
      <c r="K19" s="291"/>
      <c r="L19" s="291"/>
      <c r="M19" s="292"/>
      <c r="N19" s="293"/>
      <c r="O19" s="294"/>
      <c r="P19" s="297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9"/>
      <c r="AR19" s="296"/>
    </row>
    <row r="20" spans="2:47" s="260" customFormat="1" ht="18.75" hidden="1" customHeight="1">
      <c r="B20" s="288"/>
      <c r="C20" s="289"/>
      <c r="D20" s="289"/>
      <c r="E20" s="289"/>
      <c r="F20" s="289"/>
      <c r="G20" s="289"/>
      <c r="H20" s="289"/>
      <c r="I20" s="290"/>
      <c r="J20" s="290"/>
      <c r="K20" s="291"/>
      <c r="L20" s="291"/>
      <c r="M20" s="292"/>
      <c r="N20" s="293"/>
      <c r="O20" s="294"/>
      <c r="P20" s="297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9"/>
      <c r="AR20" s="296"/>
    </row>
    <row r="21" spans="2:47" s="260" customFormat="1" ht="18.75" hidden="1" customHeight="1" thickBot="1">
      <c r="B21" s="288"/>
      <c r="C21" s="289"/>
      <c r="D21" s="289"/>
      <c r="E21" s="289"/>
      <c r="F21" s="289"/>
      <c r="G21" s="289"/>
      <c r="H21" s="289"/>
      <c r="I21" s="290"/>
      <c r="J21" s="290"/>
      <c r="K21" s="291"/>
      <c r="L21" s="291"/>
      <c r="M21" s="292"/>
      <c r="N21" s="293"/>
      <c r="O21" s="294"/>
      <c r="P21" s="285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7"/>
      <c r="AR21" s="296"/>
    </row>
    <row r="22" spans="2:47" s="305" customFormat="1" ht="30" customHeight="1">
      <c r="B22" s="300"/>
      <c r="C22" s="301"/>
      <c r="D22" s="301"/>
      <c r="E22" s="302"/>
      <c r="F22" s="302"/>
      <c r="G22" s="302"/>
      <c r="H22" s="303"/>
      <c r="I22" s="850" t="s">
        <v>206</v>
      </c>
      <c r="J22" s="851"/>
      <c r="K22" s="851"/>
      <c r="L22" s="851"/>
      <c r="M22" s="851"/>
      <c r="N22" s="852"/>
      <c r="O22" s="304">
        <f>SUM(O8,O10,O12,O14)</f>
        <v>1950</v>
      </c>
      <c r="P22" s="473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870" t="s">
        <v>210</v>
      </c>
      <c r="AB22" s="870"/>
      <c r="AC22" s="870"/>
      <c r="AD22" s="870"/>
      <c r="AE22" s="870" t="s">
        <v>211</v>
      </c>
      <c r="AF22" s="870"/>
      <c r="AG22" s="870"/>
      <c r="AH22" s="870"/>
      <c r="AI22" s="870" t="s">
        <v>212</v>
      </c>
      <c r="AJ22" s="870"/>
      <c r="AK22" s="870"/>
      <c r="AL22" s="870"/>
      <c r="AM22" s="870"/>
      <c r="AN22" s="870" t="s">
        <v>217</v>
      </c>
      <c r="AO22" s="870"/>
      <c r="AP22" s="870"/>
      <c r="AQ22" s="871"/>
    </row>
    <row r="23" spans="2:47" s="305" customFormat="1" ht="30" customHeight="1" thickBot="1">
      <c r="B23" s="306"/>
      <c r="C23" s="307"/>
      <c r="D23" s="307"/>
      <c r="E23" s="308"/>
      <c r="F23" s="308"/>
      <c r="G23" s="308"/>
      <c r="H23" s="309"/>
      <c r="I23" s="836" t="s">
        <v>207</v>
      </c>
      <c r="J23" s="837"/>
      <c r="K23" s="837"/>
      <c r="L23" s="837"/>
      <c r="M23" s="837"/>
      <c r="N23" s="838"/>
      <c r="O23" s="310">
        <f>SUM(O9,O11,O13,O15)</f>
        <v>1740</v>
      </c>
      <c r="P23" s="306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11"/>
      <c r="AB23" s="311" t="s">
        <v>213</v>
      </c>
      <c r="AC23" s="311"/>
      <c r="AD23" s="311"/>
      <c r="AE23" s="311"/>
      <c r="AF23" s="311" t="s">
        <v>214</v>
      </c>
      <c r="AG23" s="311"/>
      <c r="AH23" s="311"/>
      <c r="AI23" s="881" t="s">
        <v>228</v>
      </c>
      <c r="AJ23" s="881"/>
      <c r="AK23" s="881"/>
      <c r="AL23" s="881"/>
      <c r="AM23" s="311"/>
      <c r="AN23" s="493"/>
      <c r="AO23" s="493" t="s">
        <v>230</v>
      </c>
      <c r="AP23" s="493"/>
      <c r="AQ23" s="492" t="s">
        <v>231</v>
      </c>
    </row>
    <row r="24" spans="2:47" ht="16.5" customHeight="1">
      <c r="AI24" s="872" t="s">
        <v>211</v>
      </c>
      <c r="AJ24" s="873"/>
      <c r="AK24" s="873"/>
      <c r="AL24" s="874"/>
      <c r="AN24" s="305"/>
      <c r="AO24" s="305"/>
      <c r="AP24" s="305"/>
      <c r="AQ24" s="305"/>
    </row>
    <row r="25" spans="2:47" ht="18" customHeight="1" thickBot="1">
      <c r="D25" s="246" t="s">
        <v>216</v>
      </c>
      <c r="AI25" s="471"/>
      <c r="AJ25" s="311" t="s">
        <v>229</v>
      </c>
      <c r="AK25" s="311"/>
      <c r="AL25" s="472" t="s">
        <v>215</v>
      </c>
      <c r="AN25" s="305"/>
      <c r="AO25" s="305"/>
      <c r="AP25" s="305"/>
      <c r="AQ25" s="305"/>
    </row>
    <row r="26" spans="2:47" ht="18" customHeight="1">
      <c r="D26" s="247" t="s">
        <v>193</v>
      </c>
      <c r="V26" s="869"/>
      <c r="W26" s="869"/>
      <c r="AR26" s="305"/>
      <c r="AS26" s="305"/>
      <c r="AT26" s="305"/>
      <c r="AU26" s="305"/>
    </row>
    <row r="27" spans="2:47" ht="5.25" customHeight="1"/>
    <row r="28" spans="2:47" s="248" customFormat="1" ht="16.5" customHeight="1" thickBot="1">
      <c r="E28" s="249" t="s">
        <v>194</v>
      </c>
      <c r="F28" s="250">
        <f>I28-N28</f>
        <v>1</v>
      </c>
      <c r="G28" s="251"/>
      <c r="H28" s="249" t="s">
        <v>195</v>
      </c>
      <c r="I28" s="854">
        <v>19</v>
      </c>
      <c r="J28" s="854"/>
      <c r="K28" s="252"/>
      <c r="M28" s="249" t="s">
        <v>196</v>
      </c>
      <c r="N28" s="855">
        <f>COUNT(P30:AT30)</f>
        <v>18</v>
      </c>
      <c r="O28" s="855"/>
      <c r="P28" s="253" t="s">
        <v>119</v>
      </c>
      <c r="Q28" s="253" t="s">
        <v>120</v>
      </c>
      <c r="R28" s="253" t="s">
        <v>121</v>
      </c>
      <c r="S28" s="253" t="s">
        <v>122</v>
      </c>
      <c r="T28" s="253" t="s">
        <v>121</v>
      </c>
      <c r="U28" s="253" t="s">
        <v>123</v>
      </c>
      <c r="V28" s="253" t="s">
        <v>119</v>
      </c>
      <c r="W28" s="253" t="s">
        <v>119</v>
      </c>
      <c r="X28" s="253" t="s">
        <v>120</v>
      </c>
      <c r="Y28" s="253" t="s">
        <v>121</v>
      </c>
      <c r="Z28" s="253" t="s">
        <v>122</v>
      </c>
      <c r="AA28" s="253" t="s">
        <v>121</v>
      </c>
      <c r="AB28" s="253" t="s">
        <v>123</v>
      </c>
      <c r="AC28" s="253" t="s">
        <v>119</v>
      </c>
      <c r="AD28" s="253" t="s">
        <v>119</v>
      </c>
      <c r="AE28" s="253" t="s">
        <v>120</v>
      </c>
      <c r="AF28" s="253" t="s">
        <v>121</v>
      </c>
      <c r="AG28" s="253" t="s">
        <v>122</v>
      </c>
      <c r="AH28" s="253" t="s">
        <v>121</v>
      </c>
      <c r="AI28" s="253" t="s">
        <v>123</v>
      </c>
      <c r="AJ28" s="253" t="s">
        <v>119</v>
      </c>
      <c r="AK28" s="253" t="s">
        <v>119</v>
      </c>
      <c r="AL28" s="253" t="s">
        <v>120</v>
      </c>
      <c r="AM28" s="253" t="s">
        <v>121</v>
      </c>
      <c r="AN28" s="253" t="s">
        <v>122</v>
      </c>
      <c r="AO28" s="253" t="s">
        <v>121</v>
      </c>
      <c r="AP28" s="253" t="s">
        <v>123</v>
      </c>
      <c r="AQ28" s="253" t="s">
        <v>119</v>
      </c>
      <c r="AR28" s="253" t="s">
        <v>119</v>
      </c>
      <c r="AS28" s="253" t="s">
        <v>120</v>
      </c>
      <c r="AT28" s="253" t="s">
        <v>121</v>
      </c>
    </row>
    <row r="29" spans="2:47" s="260" customFormat="1" ht="18" customHeight="1" thickBot="1">
      <c r="B29" s="856" t="s">
        <v>115</v>
      </c>
      <c r="C29" s="858" t="s">
        <v>117</v>
      </c>
      <c r="D29" s="858" t="s">
        <v>116</v>
      </c>
      <c r="E29" s="858" t="s">
        <v>197</v>
      </c>
      <c r="F29" s="858"/>
      <c r="G29" s="858"/>
      <c r="H29" s="860" t="s">
        <v>198</v>
      </c>
      <c r="I29" s="861" t="s">
        <v>199</v>
      </c>
      <c r="J29" s="862"/>
      <c r="K29" s="862"/>
      <c r="L29" s="862"/>
      <c r="M29" s="862"/>
      <c r="N29" s="863"/>
      <c r="O29" s="867" t="s">
        <v>200</v>
      </c>
      <c r="P29" s="254">
        <v>1</v>
      </c>
      <c r="Q29" s="255">
        <v>2</v>
      </c>
      <c r="R29" s="255">
        <v>3</v>
      </c>
      <c r="S29" s="255">
        <v>4</v>
      </c>
      <c r="T29" s="255">
        <v>5</v>
      </c>
      <c r="U29" s="255">
        <v>6</v>
      </c>
      <c r="V29" s="256">
        <v>7</v>
      </c>
      <c r="W29" s="257">
        <v>8</v>
      </c>
      <c r="X29" s="255">
        <v>9</v>
      </c>
      <c r="Y29" s="255">
        <v>10</v>
      </c>
      <c r="Z29" s="255">
        <v>11</v>
      </c>
      <c r="AA29" s="255">
        <v>12</v>
      </c>
      <c r="AB29" s="255">
        <v>13</v>
      </c>
      <c r="AC29" s="256">
        <v>14</v>
      </c>
      <c r="AD29" s="257">
        <v>15</v>
      </c>
      <c r="AE29" s="255">
        <v>16</v>
      </c>
      <c r="AF29" s="255">
        <v>17</v>
      </c>
      <c r="AG29" s="255">
        <v>18</v>
      </c>
      <c r="AH29" s="255">
        <v>19</v>
      </c>
      <c r="AI29" s="258">
        <v>20</v>
      </c>
      <c r="AJ29" s="256">
        <v>21</v>
      </c>
      <c r="AK29" s="257">
        <v>22</v>
      </c>
      <c r="AL29" s="258">
        <v>23</v>
      </c>
      <c r="AM29" s="258">
        <v>24</v>
      </c>
      <c r="AN29" s="255">
        <v>25</v>
      </c>
      <c r="AO29" s="255">
        <v>26</v>
      </c>
      <c r="AP29" s="255">
        <v>27</v>
      </c>
      <c r="AQ29" s="256">
        <v>28</v>
      </c>
      <c r="AR29" s="257">
        <v>29</v>
      </c>
      <c r="AS29" s="255">
        <v>30</v>
      </c>
      <c r="AT29" s="312">
        <v>31</v>
      </c>
      <c r="AU29" s="296"/>
    </row>
    <row r="30" spans="2:47" s="260" customFormat="1" ht="17.25" customHeight="1" thickBot="1">
      <c r="B30" s="857"/>
      <c r="C30" s="859"/>
      <c r="D30" s="859"/>
      <c r="E30" s="261" t="s">
        <v>201</v>
      </c>
      <c r="F30" s="261" t="s">
        <v>202</v>
      </c>
      <c r="G30" s="261" t="s">
        <v>203</v>
      </c>
      <c r="H30" s="859"/>
      <c r="I30" s="864"/>
      <c r="J30" s="865"/>
      <c r="K30" s="865"/>
      <c r="L30" s="865"/>
      <c r="M30" s="865"/>
      <c r="N30" s="866"/>
      <c r="O30" s="868"/>
      <c r="P30" s="262"/>
      <c r="Q30" s="263"/>
      <c r="R30" s="263"/>
      <c r="S30" s="263">
        <v>2</v>
      </c>
      <c r="T30" s="263">
        <v>2</v>
      </c>
      <c r="U30" s="263">
        <v>2</v>
      </c>
      <c r="V30" s="263">
        <v>2</v>
      </c>
      <c r="W30" s="263"/>
      <c r="X30" s="263">
        <v>2</v>
      </c>
      <c r="Y30" s="263">
        <v>2</v>
      </c>
      <c r="Z30" s="263">
        <v>2</v>
      </c>
      <c r="AA30" s="263">
        <v>2</v>
      </c>
      <c r="AB30" s="263">
        <v>2</v>
      </c>
      <c r="AC30" s="263">
        <v>2</v>
      </c>
      <c r="AD30" s="263"/>
      <c r="AE30" s="263">
        <v>2</v>
      </c>
      <c r="AF30" s="263">
        <v>2</v>
      </c>
      <c r="AG30" s="263"/>
      <c r="AH30" s="263"/>
      <c r="AI30" s="263"/>
      <c r="AJ30" s="263"/>
      <c r="AK30" s="263"/>
      <c r="AL30" s="263"/>
      <c r="AM30" s="263"/>
      <c r="AN30" s="263">
        <v>2</v>
      </c>
      <c r="AO30" s="263">
        <v>2</v>
      </c>
      <c r="AP30" s="263">
        <v>2</v>
      </c>
      <c r="AQ30" s="263">
        <v>2</v>
      </c>
      <c r="AR30" s="263"/>
      <c r="AS30" s="263">
        <v>2</v>
      </c>
      <c r="AT30" s="263">
        <v>2</v>
      </c>
      <c r="AU30" s="296"/>
    </row>
    <row r="31" spans="2:47" s="260" customFormat="1" ht="30" customHeight="1">
      <c r="B31" s="853" t="s">
        <v>41</v>
      </c>
      <c r="C31" s="843" t="s">
        <v>257</v>
      </c>
      <c r="D31" s="843" t="s">
        <v>127</v>
      </c>
      <c r="E31" s="843" t="s">
        <v>138</v>
      </c>
      <c r="F31" s="843" t="s">
        <v>208</v>
      </c>
      <c r="G31" s="843">
        <v>50</v>
      </c>
      <c r="H31" s="843">
        <v>1000</v>
      </c>
      <c r="I31" s="844" t="s">
        <v>206</v>
      </c>
      <c r="J31" s="845"/>
      <c r="K31" s="845"/>
      <c r="L31" s="845"/>
      <c r="M31" s="845"/>
      <c r="N31" s="846"/>
      <c r="O31" s="275">
        <f>SUM(P31:AP31)</f>
        <v>0</v>
      </c>
      <c r="P31" s="266"/>
      <c r="Q31" s="282"/>
      <c r="R31" s="282"/>
      <c r="S31" s="282"/>
      <c r="T31" s="282"/>
      <c r="U31" s="282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8"/>
      <c r="AH31" s="268"/>
      <c r="AI31" s="268"/>
      <c r="AJ31" s="268"/>
      <c r="AK31" s="268"/>
      <c r="AL31" s="268"/>
      <c r="AM31" s="268"/>
      <c r="AN31" s="267"/>
      <c r="AO31" s="267"/>
      <c r="AP31" s="267"/>
      <c r="AQ31" s="267"/>
      <c r="AR31" s="267"/>
      <c r="AS31" s="267"/>
      <c r="AT31" s="269"/>
      <c r="AU31" s="296"/>
    </row>
    <row r="32" spans="2:47" s="260" customFormat="1" ht="30" customHeight="1">
      <c r="B32" s="840"/>
      <c r="C32" s="842"/>
      <c r="D32" s="842"/>
      <c r="E32" s="842"/>
      <c r="F32" s="842"/>
      <c r="G32" s="842"/>
      <c r="H32" s="842"/>
      <c r="I32" s="847" t="s">
        <v>207</v>
      </c>
      <c r="J32" s="848"/>
      <c r="K32" s="848"/>
      <c r="L32" s="848"/>
      <c r="M32" s="848"/>
      <c r="N32" s="849"/>
      <c r="O32" s="270">
        <f>SUM(P32:AQ32)</f>
        <v>40</v>
      </c>
      <c r="P32" s="271"/>
      <c r="Q32" s="272"/>
      <c r="R32" s="272"/>
      <c r="S32" s="272">
        <v>40</v>
      </c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3"/>
      <c r="AH32" s="273"/>
      <c r="AI32" s="273"/>
      <c r="AJ32" s="273"/>
      <c r="AK32" s="273"/>
      <c r="AL32" s="273"/>
      <c r="AM32" s="273"/>
      <c r="AN32" s="272"/>
      <c r="AO32" s="272"/>
      <c r="AP32" s="272"/>
      <c r="AQ32" s="272"/>
      <c r="AR32" s="272"/>
      <c r="AS32" s="272"/>
      <c r="AT32" s="274"/>
      <c r="AU32" s="296"/>
    </row>
    <row r="33" spans="2:47" s="280" customFormat="1" ht="30" customHeight="1">
      <c r="B33" s="839" t="s">
        <v>42</v>
      </c>
      <c r="C33" s="843" t="s">
        <v>258</v>
      </c>
      <c r="D33" s="843" t="s">
        <v>127</v>
      </c>
      <c r="E33" s="843" t="s">
        <v>204</v>
      </c>
      <c r="F33" s="843" t="s">
        <v>205</v>
      </c>
      <c r="G33" s="843">
        <v>35</v>
      </c>
      <c r="H33" s="843">
        <v>500</v>
      </c>
      <c r="I33" s="844" t="s">
        <v>206</v>
      </c>
      <c r="J33" s="845"/>
      <c r="K33" s="845"/>
      <c r="L33" s="845"/>
      <c r="M33" s="845"/>
      <c r="N33" s="846"/>
      <c r="O33" s="275">
        <f t="shared" ref="O33:O40" si="0">SUM(P33:AT33)</f>
        <v>0</v>
      </c>
      <c r="P33" s="281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3"/>
      <c r="AI33" s="283"/>
      <c r="AJ33" s="283"/>
      <c r="AK33" s="283"/>
      <c r="AL33" s="283"/>
      <c r="AM33" s="283"/>
      <c r="AN33" s="282"/>
      <c r="AO33" s="282"/>
      <c r="AP33" s="282"/>
      <c r="AQ33" s="282"/>
      <c r="AR33" s="282"/>
      <c r="AS33" s="282"/>
      <c r="AT33" s="295"/>
      <c r="AU33" s="313"/>
    </row>
    <row r="34" spans="2:47" s="280" customFormat="1" ht="30" customHeight="1">
      <c r="B34" s="840"/>
      <c r="C34" s="842"/>
      <c r="D34" s="842"/>
      <c r="E34" s="842"/>
      <c r="F34" s="842"/>
      <c r="G34" s="842"/>
      <c r="H34" s="842"/>
      <c r="I34" s="847" t="s">
        <v>207</v>
      </c>
      <c r="J34" s="848"/>
      <c r="K34" s="848"/>
      <c r="L34" s="848"/>
      <c r="M34" s="848"/>
      <c r="N34" s="849"/>
      <c r="O34" s="270">
        <f t="shared" si="0"/>
        <v>180</v>
      </c>
      <c r="P34" s="271"/>
      <c r="Q34" s="272"/>
      <c r="R34" s="272"/>
      <c r="S34" s="272">
        <v>180</v>
      </c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3"/>
      <c r="AH34" s="273"/>
      <c r="AI34" s="273"/>
      <c r="AJ34" s="273"/>
      <c r="AK34" s="273"/>
      <c r="AL34" s="273"/>
      <c r="AM34" s="273"/>
      <c r="AN34" s="272"/>
      <c r="AO34" s="272"/>
      <c r="AP34" s="272"/>
      <c r="AQ34" s="272"/>
      <c r="AR34" s="272"/>
      <c r="AS34" s="272"/>
      <c r="AT34" s="274"/>
      <c r="AU34" s="313"/>
    </row>
    <row r="35" spans="2:47" s="280" customFormat="1" ht="30" customHeight="1">
      <c r="B35" s="839" t="s">
        <v>43</v>
      </c>
      <c r="C35" s="843" t="s">
        <v>259</v>
      </c>
      <c r="D35" s="843" t="s">
        <v>127</v>
      </c>
      <c r="E35" s="843" t="s">
        <v>204</v>
      </c>
      <c r="F35" s="843" t="s">
        <v>205</v>
      </c>
      <c r="G35" s="843">
        <v>35</v>
      </c>
      <c r="H35" s="843">
        <v>1500</v>
      </c>
      <c r="I35" s="844" t="s">
        <v>206</v>
      </c>
      <c r="J35" s="845"/>
      <c r="K35" s="845"/>
      <c r="L35" s="845"/>
      <c r="M35" s="845"/>
      <c r="N35" s="846"/>
      <c r="O35" s="275">
        <f t="shared" si="0"/>
        <v>1500</v>
      </c>
      <c r="P35" s="281"/>
      <c r="Q35" s="282"/>
      <c r="R35" s="282"/>
      <c r="S35" s="282">
        <v>140</v>
      </c>
      <c r="T35" s="282">
        <v>180</v>
      </c>
      <c r="U35" s="282">
        <v>220</v>
      </c>
      <c r="V35" s="282"/>
      <c r="W35" s="282"/>
      <c r="X35" s="282">
        <v>200</v>
      </c>
      <c r="Y35" s="282">
        <v>240</v>
      </c>
      <c r="Z35" s="282">
        <v>240</v>
      </c>
      <c r="AA35" s="282">
        <v>160</v>
      </c>
      <c r="AB35" s="282">
        <v>120</v>
      </c>
      <c r="AC35" s="282"/>
      <c r="AD35" s="282"/>
      <c r="AE35" s="282"/>
      <c r="AF35" s="282"/>
      <c r="AG35" s="283"/>
      <c r="AH35" s="283"/>
      <c r="AI35" s="283"/>
      <c r="AJ35" s="283"/>
      <c r="AK35" s="283"/>
      <c r="AL35" s="283"/>
      <c r="AM35" s="283"/>
      <c r="AN35" s="282"/>
      <c r="AO35" s="282"/>
      <c r="AP35" s="282"/>
      <c r="AQ35" s="282"/>
      <c r="AR35" s="282"/>
      <c r="AS35" s="282"/>
      <c r="AT35" s="295"/>
      <c r="AU35" s="313"/>
    </row>
    <row r="36" spans="2:47" s="280" customFormat="1" ht="30" customHeight="1">
      <c r="B36" s="840"/>
      <c r="C36" s="842"/>
      <c r="D36" s="842"/>
      <c r="E36" s="842"/>
      <c r="F36" s="842"/>
      <c r="G36" s="842"/>
      <c r="H36" s="842"/>
      <c r="I36" s="847" t="s">
        <v>207</v>
      </c>
      <c r="J36" s="848"/>
      <c r="K36" s="848"/>
      <c r="L36" s="848"/>
      <c r="M36" s="848"/>
      <c r="N36" s="849"/>
      <c r="O36" s="270">
        <f t="shared" si="0"/>
        <v>1500</v>
      </c>
      <c r="P36" s="271"/>
      <c r="Q36" s="272"/>
      <c r="R36" s="272"/>
      <c r="S36" s="272">
        <v>140</v>
      </c>
      <c r="T36" s="272">
        <v>180</v>
      </c>
      <c r="U36" s="272">
        <v>220</v>
      </c>
      <c r="V36" s="272"/>
      <c r="W36" s="272"/>
      <c r="X36" s="272"/>
      <c r="Y36" s="272"/>
      <c r="Z36" s="272"/>
      <c r="AA36" s="272"/>
      <c r="AB36" s="272">
        <v>140</v>
      </c>
      <c r="AC36" s="272">
        <v>180</v>
      </c>
      <c r="AD36" s="272">
        <v>220</v>
      </c>
      <c r="AE36" s="272">
        <v>240</v>
      </c>
      <c r="AF36" s="272">
        <v>180</v>
      </c>
      <c r="AG36" s="273"/>
      <c r="AH36" s="273"/>
      <c r="AI36" s="273"/>
      <c r="AJ36" s="273"/>
      <c r="AK36" s="273"/>
      <c r="AL36" s="273"/>
      <c r="AM36" s="273"/>
      <c r="AN36" s="272"/>
      <c r="AO36" s="272"/>
      <c r="AP36" s="272"/>
      <c r="AQ36" s="272"/>
      <c r="AR36" s="272"/>
      <c r="AS36" s="272"/>
      <c r="AT36" s="274"/>
      <c r="AU36" s="313"/>
    </row>
    <row r="37" spans="2:47" s="280" customFormat="1" ht="30.75" customHeight="1">
      <c r="B37" s="839" t="s">
        <v>44</v>
      </c>
      <c r="C37" s="841" t="s">
        <v>260</v>
      </c>
      <c r="D37" s="843" t="s">
        <v>127</v>
      </c>
      <c r="E37" s="843" t="s">
        <v>138</v>
      </c>
      <c r="F37" s="843" t="s">
        <v>208</v>
      </c>
      <c r="G37" s="843">
        <v>50</v>
      </c>
      <c r="H37" s="843">
        <v>1000</v>
      </c>
      <c r="I37" s="844" t="s">
        <v>206</v>
      </c>
      <c r="J37" s="845"/>
      <c r="K37" s="845"/>
      <c r="L37" s="845"/>
      <c r="M37" s="845"/>
      <c r="N37" s="846"/>
      <c r="O37" s="275">
        <f t="shared" si="0"/>
        <v>1000</v>
      </c>
      <c r="P37" s="478"/>
      <c r="Q37" s="475"/>
      <c r="R37" s="475"/>
      <c r="S37" s="475"/>
      <c r="T37" s="475"/>
      <c r="U37" s="475"/>
      <c r="V37" s="475">
        <v>140</v>
      </c>
      <c r="W37" s="475"/>
      <c r="X37" s="475"/>
      <c r="Y37" s="475"/>
      <c r="Z37" s="475"/>
      <c r="AA37" s="475"/>
      <c r="AB37" s="475">
        <v>100</v>
      </c>
      <c r="AC37" s="475">
        <v>240</v>
      </c>
      <c r="AD37" s="475">
        <v>240</v>
      </c>
      <c r="AE37" s="475">
        <v>200</v>
      </c>
      <c r="AF37" s="475">
        <v>80</v>
      </c>
      <c r="AG37" s="476"/>
      <c r="AH37" s="476"/>
      <c r="AI37" s="476"/>
      <c r="AJ37" s="476"/>
      <c r="AK37" s="476"/>
      <c r="AL37" s="476"/>
      <c r="AM37" s="476"/>
      <c r="AN37" s="475"/>
      <c r="AO37" s="475"/>
      <c r="AP37" s="475"/>
      <c r="AQ37" s="475"/>
      <c r="AR37" s="475"/>
      <c r="AS37" s="475"/>
      <c r="AT37" s="477"/>
      <c r="AU37" s="313"/>
    </row>
    <row r="38" spans="2:47" s="280" customFormat="1" ht="30.75" customHeight="1">
      <c r="B38" s="840"/>
      <c r="C38" s="842"/>
      <c r="D38" s="842"/>
      <c r="E38" s="842"/>
      <c r="F38" s="842"/>
      <c r="G38" s="842"/>
      <c r="H38" s="842"/>
      <c r="I38" s="847" t="s">
        <v>207</v>
      </c>
      <c r="J38" s="848"/>
      <c r="K38" s="848"/>
      <c r="L38" s="848"/>
      <c r="M38" s="848"/>
      <c r="N38" s="849"/>
      <c r="O38" s="270">
        <f t="shared" si="0"/>
        <v>1000</v>
      </c>
      <c r="P38" s="271"/>
      <c r="Q38" s="272"/>
      <c r="R38" s="272"/>
      <c r="S38" s="272"/>
      <c r="T38" s="272"/>
      <c r="U38" s="272"/>
      <c r="V38" s="272">
        <v>140</v>
      </c>
      <c r="W38" s="272"/>
      <c r="X38" s="272"/>
      <c r="Y38" s="272"/>
      <c r="Z38" s="272"/>
      <c r="AA38" s="272"/>
      <c r="AB38" s="272"/>
      <c r="AC38" s="272"/>
      <c r="AD38" s="272"/>
      <c r="AE38" s="272"/>
      <c r="AF38" s="272">
        <v>20</v>
      </c>
      <c r="AG38" s="273"/>
      <c r="AH38" s="273"/>
      <c r="AI38" s="273"/>
      <c r="AJ38" s="273"/>
      <c r="AK38" s="273"/>
      <c r="AL38" s="273"/>
      <c r="AM38" s="273"/>
      <c r="AN38" s="272">
        <v>120</v>
      </c>
      <c r="AO38" s="272">
        <v>240</v>
      </c>
      <c r="AP38" s="272">
        <v>240</v>
      </c>
      <c r="AQ38" s="272">
        <v>240</v>
      </c>
      <c r="AR38" s="272"/>
      <c r="AS38" s="272"/>
      <c r="AT38" s="274"/>
      <c r="AU38" s="313"/>
    </row>
    <row r="39" spans="2:47" s="280" customFormat="1" ht="30.75" customHeight="1">
      <c r="B39" s="839" t="s">
        <v>45</v>
      </c>
      <c r="C39" s="843" t="s">
        <v>261</v>
      </c>
      <c r="D39" s="843" t="s">
        <v>127</v>
      </c>
      <c r="E39" s="843" t="s">
        <v>136</v>
      </c>
      <c r="F39" s="843" t="s">
        <v>205</v>
      </c>
      <c r="G39" s="843">
        <v>35</v>
      </c>
      <c r="H39" s="843">
        <v>2000</v>
      </c>
      <c r="I39" s="844" t="s">
        <v>206</v>
      </c>
      <c r="J39" s="845"/>
      <c r="K39" s="845"/>
      <c r="L39" s="845"/>
      <c r="M39" s="845"/>
      <c r="N39" s="846"/>
      <c r="O39" s="275">
        <f t="shared" si="0"/>
        <v>1500</v>
      </c>
      <c r="P39" s="314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>
        <v>60</v>
      </c>
      <c r="AG39" s="283"/>
      <c r="AH39" s="283"/>
      <c r="AI39" s="283"/>
      <c r="AJ39" s="283"/>
      <c r="AK39" s="283"/>
      <c r="AL39" s="283"/>
      <c r="AM39" s="283"/>
      <c r="AN39" s="277">
        <v>160</v>
      </c>
      <c r="AO39" s="277">
        <v>160</v>
      </c>
      <c r="AP39" s="277">
        <v>280</v>
      </c>
      <c r="AQ39" s="277">
        <v>280</v>
      </c>
      <c r="AR39" s="277"/>
      <c r="AS39" s="277">
        <v>280</v>
      </c>
      <c r="AT39" s="279">
        <v>280</v>
      </c>
      <c r="AU39" s="313"/>
    </row>
    <row r="40" spans="2:47" s="280" customFormat="1" ht="30.75" customHeight="1" thickBot="1">
      <c r="B40" s="840"/>
      <c r="C40" s="842"/>
      <c r="D40" s="842"/>
      <c r="E40" s="842"/>
      <c r="F40" s="842"/>
      <c r="G40" s="842"/>
      <c r="H40" s="842"/>
      <c r="I40" s="847" t="s">
        <v>207</v>
      </c>
      <c r="J40" s="848"/>
      <c r="K40" s="848"/>
      <c r="L40" s="848"/>
      <c r="M40" s="848"/>
      <c r="N40" s="849"/>
      <c r="O40" s="270">
        <f t="shared" si="0"/>
        <v>460</v>
      </c>
      <c r="P40" s="315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73"/>
      <c r="AH40" s="273"/>
      <c r="AI40" s="273"/>
      <c r="AJ40" s="273"/>
      <c r="AK40" s="273"/>
      <c r="AL40" s="273"/>
      <c r="AM40" s="273"/>
      <c r="AN40" s="298"/>
      <c r="AO40" s="298"/>
      <c r="AP40" s="298"/>
      <c r="AQ40" s="298"/>
      <c r="AR40" s="298"/>
      <c r="AS40" s="298">
        <v>180</v>
      </c>
      <c r="AT40" s="299">
        <v>280</v>
      </c>
      <c r="AU40" s="313"/>
    </row>
    <row r="41" spans="2:47" s="260" customFormat="1" ht="18.75" hidden="1" customHeight="1">
      <c r="B41" s="288"/>
      <c r="C41" s="289"/>
      <c r="D41" s="289"/>
      <c r="E41" s="289"/>
      <c r="F41" s="289"/>
      <c r="G41" s="289"/>
      <c r="H41" s="289"/>
      <c r="I41" s="290"/>
      <c r="J41" s="290"/>
      <c r="K41" s="291"/>
      <c r="L41" s="291"/>
      <c r="M41" s="292"/>
      <c r="N41" s="293"/>
      <c r="O41" s="294"/>
      <c r="P41" s="297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9"/>
      <c r="AU41" s="296"/>
    </row>
    <row r="42" spans="2:47" s="260" customFormat="1" ht="18.75" hidden="1" customHeight="1">
      <c r="B42" s="288"/>
      <c r="C42" s="289"/>
      <c r="D42" s="289"/>
      <c r="E42" s="289"/>
      <c r="F42" s="289"/>
      <c r="G42" s="289"/>
      <c r="H42" s="289"/>
      <c r="I42" s="290"/>
      <c r="J42" s="290"/>
      <c r="K42" s="291"/>
      <c r="L42" s="291"/>
      <c r="M42" s="292"/>
      <c r="N42" s="293"/>
      <c r="O42" s="294"/>
      <c r="P42" s="297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9"/>
      <c r="AU42" s="296"/>
    </row>
    <row r="43" spans="2:47" s="260" customFormat="1" ht="18.75" hidden="1" customHeight="1">
      <c r="B43" s="288"/>
      <c r="C43" s="289"/>
      <c r="D43" s="289"/>
      <c r="E43" s="289"/>
      <c r="F43" s="289"/>
      <c r="G43" s="289"/>
      <c r="H43" s="289"/>
      <c r="I43" s="290"/>
      <c r="J43" s="290"/>
      <c r="K43" s="291"/>
      <c r="L43" s="291"/>
      <c r="M43" s="292"/>
      <c r="N43" s="293"/>
      <c r="O43" s="294"/>
      <c r="P43" s="297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9"/>
      <c r="AU43" s="296"/>
    </row>
    <row r="44" spans="2:47" s="260" customFormat="1" ht="18.75" hidden="1" customHeight="1" thickBot="1">
      <c r="B44" s="317"/>
      <c r="C44" s="318"/>
      <c r="D44" s="318"/>
      <c r="E44" s="318"/>
      <c r="F44" s="318"/>
      <c r="G44" s="318"/>
      <c r="H44" s="318"/>
      <c r="I44" s="319"/>
      <c r="J44" s="319"/>
      <c r="K44" s="320"/>
      <c r="L44" s="320"/>
      <c r="M44" s="321"/>
      <c r="N44" s="322"/>
      <c r="O44" s="323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7"/>
      <c r="AU44" s="296"/>
    </row>
    <row r="45" spans="2:47" s="305" customFormat="1" ht="30" customHeight="1">
      <c r="B45" s="300"/>
      <c r="C45" s="301"/>
      <c r="D45" s="301"/>
      <c r="E45" s="302"/>
      <c r="F45" s="302"/>
      <c r="G45" s="302"/>
      <c r="H45" s="303"/>
      <c r="I45" s="850" t="s">
        <v>206</v>
      </c>
      <c r="J45" s="851"/>
      <c r="K45" s="851"/>
      <c r="L45" s="851"/>
      <c r="M45" s="851"/>
      <c r="N45" s="852"/>
      <c r="O45" s="304">
        <f>SUM(O31,O33,O35,O37)</f>
        <v>2500</v>
      </c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  <c r="AF45" s="324"/>
      <c r="AG45" s="324"/>
      <c r="AH45" s="324"/>
      <c r="AI45" s="324"/>
      <c r="AJ45" s="324"/>
      <c r="AK45" s="324"/>
      <c r="AL45" s="324"/>
      <c r="AM45" s="324"/>
      <c r="AN45" s="324"/>
      <c r="AO45" s="324"/>
      <c r="AP45" s="324"/>
      <c r="AQ45" s="301"/>
      <c r="AR45" s="301"/>
      <c r="AS45" s="301"/>
      <c r="AT45" s="301"/>
      <c r="AU45" s="325"/>
    </row>
    <row r="46" spans="2:47" s="305" customFormat="1" ht="30" customHeight="1" thickBot="1">
      <c r="B46" s="306"/>
      <c r="C46" s="307"/>
      <c r="D46" s="307"/>
      <c r="E46" s="308"/>
      <c r="F46" s="308"/>
      <c r="G46" s="308"/>
      <c r="H46" s="309"/>
      <c r="I46" s="836" t="s">
        <v>207</v>
      </c>
      <c r="J46" s="837"/>
      <c r="K46" s="837"/>
      <c r="L46" s="837"/>
      <c r="M46" s="837"/>
      <c r="N46" s="838"/>
      <c r="O46" s="310">
        <f>SUM(O32,O34,O36,O38)</f>
        <v>2720</v>
      </c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07"/>
      <c r="AR46" s="307"/>
      <c r="AS46" s="307"/>
      <c r="AT46" s="307"/>
      <c r="AU46" s="325"/>
    </row>
    <row r="47" spans="2:47" ht="16.5" customHeight="1"/>
    <row r="48" spans="2:47" ht="18" customHeight="1">
      <c r="D48" s="246" t="s">
        <v>218</v>
      </c>
    </row>
    <row r="49" spans="2:46" ht="18" customHeight="1">
      <c r="D49" s="247" t="s">
        <v>193</v>
      </c>
      <c r="V49" s="869"/>
      <c r="W49" s="869"/>
    </row>
    <row r="50" spans="2:46" ht="5.25" customHeight="1"/>
    <row r="51" spans="2:46" s="248" customFormat="1" ht="16.5" customHeight="1" thickBot="1">
      <c r="E51" s="249" t="s">
        <v>194</v>
      </c>
      <c r="F51" s="250">
        <f>I51-N51</f>
        <v>-4</v>
      </c>
      <c r="G51" s="251"/>
      <c r="H51" s="249" t="s">
        <v>195</v>
      </c>
      <c r="I51" s="854">
        <v>19</v>
      </c>
      <c r="J51" s="854"/>
      <c r="K51" s="252"/>
      <c r="M51" s="249" t="s">
        <v>196</v>
      </c>
      <c r="N51" s="855">
        <f>COUNT(P53:AS53)</f>
        <v>23</v>
      </c>
      <c r="O51" s="855"/>
      <c r="P51" s="253" t="s">
        <v>122</v>
      </c>
      <c r="Q51" s="253" t="s">
        <v>121</v>
      </c>
      <c r="R51" s="253" t="s">
        <v>123</v>
      </c>
      <c r="S51" s="253" t="s">
        <v>119</v>
      </c>
      <c r="T51" s="253" t="s">
        <v>119</v>
      </c>
      <c r="U51" s="253" t="s">
        <v>120</v>
      </c>
      <c r="V51" s="253" t="s">
        <v>121</v>
      </c>
      <c r="W51" s="253" t="s">
        <v>122</v>
      </c>
      <c r="X51" s="253" t="s">
        <v>121</v>
      </c>
      <c r="Y51" s="253" t="s">
        <v>123</v>
      </c>
      <c r="Z51" s="253" t="s">
        <v>119</v>
      </c>
      <c r="AA51" s="253" t="s">
        <v>119</v>
      </c>
      <c r="AB51" s="253" t="s">
        <v>120</v>
      </c>
      <c r="AC51" s="253" t="s">
        <v>121</v>
      </c>
      <c r="AD51" s="253" t="s">
        <v>122</v>
      </c>
      <c r="AE51" s="253" t="s">
        <v>121</v>
      </c>
      <c r="AF51" s="253" t="s">
        <v>123</v>
      </c>
      <c r="AG51" s="253" t="s">
        <v>119</v>
      </c>
      <c r="AH51" s="253" t="s">
        <v>119</v>
      </c>
      <c r="AI51" s="253" t="s">
        <v>120</v>
      </c>
      <c r="AJ51" s="253" t="s">
        <v>121</v>
      </c>
      <c r="AK51" s="253" t="s">
        <v>122</v>
      </c>
      <c r="AL51" s="253" t="s">
        <v>121</v>
      </c>
      <c r="AM51" s="253" t="s">
        <v>123</v>
      </c>
      <c r="AN51" s="253" t="s">
        <v>119</v>
      </c>
      <c r="AO51" s="253" t="s">
        <v>119</v>
      </c>
      <c r="AP51" s="253" t="s">
        <v>120</v>
      </c>
      <c r="AQ51" s="253" t="s">
        <v>121</v>
      </c>
      <c r="AR51" s="253" t="s">
        <v>122</v>
      </c>
      <c r="AS51" s="253" t="s">
        <v>121</v>
      </c>
    </row>
    <row r="52" spans="2:46" s="260" customFormat="1" ht="18" customHeight="1" thickBot="1">
      <c r="B52" s="856" t="s">
        <v>115</v>
      </c>
      <c r="C52" s="858" t="s">
        <v>117</v>
      </c>
      <c r="D52" s="858" t="s">
        <v>116</v>
      </c>
      <c r="E52" s="858" t="s">
        <v>197</v>
      </c>
      <c r="F52" s="858"/>
      <c r="G52" s="858"/>
      <c r="H52" s="860" t="s">
        <v>198</v>
      </c>
      <c r="I52" s="861" t="s">
        <v>199</v>
      </c>
      <c r="J52" s="862"/>
      <c r="K52" s="862"/>
      <c r="L52" s="862"/>
      <c r="M52" s="862"/>
      <c r="N52" s="863"/>
      <c r="O52" s="867" t="s">
        <v>200</v>
      </c>
      <c r="P52" s="327">
        <v>1</v>
      </c>
      <c r="Q52" s="255">
        <v>2</v>
      </c>
      <c r="R52" s="257">
        <v>3</v>
      </c>
      <c r="S52" s="256">
        <v>4</v>
      </c>
      <c r="T52" s="257">
        <v>5</v>
      </c>
      <c r="U52" s="256">
        <v>6</v>
      </c>
      <c r="V52" s="255">
        <v>7</v>
      </c>
      <c r="W52" s="255">
        <v>8</v>
      </c>
      <c r="X52" s="255">
        <v>9</v>
      </c>
      <c r="Y52" s="255">
        <v>10</v>
      </c>
      <c r="Z52" s="256">
        <v>11</v>
      </c>
      <c r="AA52" s="257">
        <v>12</v>
      </c>
      <c r="AB52" s="255">
        <v>13</v>
      </c>
      <c r="AC52" s="255">
        <v>14</v>
      </c>
      <c r="AD52" s="255">
        <v>15</v>
      </c>
      <c r="AE52" s="255">
        <v>16</v>
      </c>
      <c r="AF52" s="255">
        <v>17</v>
      </c>
      <c r="AG52" s="256">
        <v>18</v>
      </c>
      <c r="AH52" s="257">
        <v>19</v>
      </c>
      <c r="AI52" s="255">
        <v>20</v>
      </c>
      <c r="AJ52" s="255">
        <v>21</v>
      </c>
      <c r="AK52" s="255">
        <v>22</v>
      </c>
      <c r="AL52" s="255">
        <v>23</v>
      </c>
      <c r="AM52" s="255">
        <v>24</v>
      </c>
      <c r="AN52" s="256">
        <v>25</v>
      </c>
      <c r="AO52" s="257">
        <v>26</v>
      </c>
      <c r="AP52" s="255">
        <v>27</v>
      </c>
      <c r="AQ52" s="255">
        <v>28</v>
      </c>
      <c r="AR52" s="255">
        <v>29</v>
      </c>
      <c r="AS52" s="312">
        <v>30</v>
      </c>
      <c r="AT52" s="296"/>
    </row>
    <row r="53" spans="2:46" s="260" customFormat="1" ht="17.25" customHeight="1" thickBot="1">
      <c r="B53" s="857"/>
      <c r="C53" s="859"/>
      <c r="D53" s="859"/>
      <c r="E53" s="261" t="s">
        <v>201</v>
      </c>
      <c r="F53" s="261" t="s">
        <v>202</v>
      </c>
      <c r="G53" s="261" t="s">
        <v>203</v>
      </c>
      <c r="H53" s="859"/>
      <c r="I53" s="864"/>
      <c r="J53" s="865"/>
      <c r="K53" s="865"/>
      <c r="L53" s="865"/>
      <c r="M53" s="865"/>
      <c r="N53" s="866"/>
      <c r="O53" s="868"/>
      <c r="P53" s="262">
        <v>2</v>
      </c>
      <c r="Q53" s="263">
        <v>2</v>
      </c>
      <c r="R53" s="263"/>
      <c r="S53" s="263"/>
      <c r="T53" s="263"/>
      <c r="U53" s="263"/>
      <c r="V53" s="263">
        <v>2</v>
      </c>
      <c r="W53" s="263">
        <v>2</v>
      </c>
      <c r="X53" s="263">
        <v>2</v>
      </c>
      <c r="Y53" s="263">
        <v>2</v>
      </c>
      <c r="Z53" s="263">
        <v>2</v>
      </c>
      <c r="AA53" s="263"/>
      <c r="AB53" s="263">
        <v>2</v>
      </c>
      <c r="AC53" s="263">
        <v>2</v>
      </c>
      <c r="AD53" s="263">
        <v>2</v>
      </c>
      <c r="AE53" s="263">
        <v>2</v>
      </c>
      <c r="AF53" s="263">
        <v>2</v>
      </c>
      <c r="AG53" s="263">
        <v>2</v>
      </c>
      <c r="AH53" s="263"/>
      <c r="AI53" s="263">
        <v>2</v>
      </c>
      <c r="AJ53" s="263">
        <v>2</v>
      </c>
      <c r="AK53" s="263">
        <v>2</v>
      </c>
      <c r="AL53" s="263">
        <v>2</v>
      </c>
      <c r="AM53" s="263">
        <v>2</v>
      </c>
      <c r="AN53" s="263">
        <v>2</v>
      </c>
      <c r="AO53" s="263"/>
      <c r="AP53" s="263">
        <v>2</v>
      </c>
      <c r="AQ53" s="263">
        <v>2</v>
      </c>
      <c r="AR53" s="263">
        <v>2</v>
      </c>
      <c r="AS53" s="263">
        <v>2</v>
      </c>
      <c r="AT53" s="296"/>
    </row>
    <row r="54" spans="2:46" s="260" customFormat="1" ht="30" customHeight="1">
      <c r="B54" s="853" t="s">
        <v>41</v>
      </c>
      <c r="C54" s="841" t="s">
        <v>261</v>
      </c>
      <c r="D54" s="843" t="s">
        <v>127</v>
      </c>
      <c r="E54" s="843" t="s">
        <v>136</v>
      </c>
      <c r="F54" s="843" t="s">
        <v>205</v>
      </c>
      <c r="G54" s="843">
        <v>35</v>
      </c>
      <c r="H54" s="843">
        <v>2000</v>
      </c>
      <c r="I54" s="844" t="s">
        <v>206</v>
      </c>
      <c r="J54" s="845"/>
      <c r="K54" s="845"/>
      <c r="L54" s="845"/>
      <c r="M54" s="845"/>
      <c r="N54" s="846"/>
      <c r="O54" s="275">
        <f t="shared" ref="O54:O63" si="1">SUM(P54:AS54)</f>
        <v>620</v>
      </c>
      <c r="P54" s="328">
        <v>280</v>
      </c>
      <c r="Q54" s="329">
        <v>280</v>
      </c>
      <c r="R54" s="330"/>
      <c r="S54" s="330"/>
      <c r="T54" s="330"/>
      <c r="U54" s="330"/>
      <c r="V54" s="329">
        <v>60</v>
      </c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296"/>
    </row>
    <row r="55" spans="2:46" s="260" customFormat="1" ht="30" customHeight="1">
      <c r="B55" s="840"/>
      <c r="C55" s="842"/>
      <c r="D55" s="842"/>
      <c r="E55" s="842"/>
      <c r="F55" s="842"/>
      <c r="G55" s="842"/>
      <c r="H55" s="842"/>
      <c r="I55" s="847" t="s">
        <v>207</v>
      </c>
      <c r="J55" s="848"/>
      <c r="K55" s="848"/>
      <c r="L55" s="848"/>
      <c r="M55" s="848"/>
      <c r="N55" s="849"/>
      <c r="O55" s="270">
        <f t="shared" si="1"/>
        <v>1540</v>
      </c>
      <c r="P55" s="331">
        <v>280</v>
      </c>
      <c r="Q55" s="332">
        <v>280</v>
      </c>
      <c r="R55" s="333"/>
      <c r="S55" s="333"/>
      <c r="T55" s="333"/>
      <c r="U55" s="333"/>
      <c r="V55" s="332">
        <v>280</v>
      </c>
      <c r="W55" s="332">
        <v>280</v>
      </c>
      <c r="X55" s="332">
        <v>280</v>
      </c>
      <c r="Y55" s="332">
        <v>140</v>
      </c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296"/>
    </row>
    <row r="56" spans="2:46" s="280" customFormat="1" ht="30" customHeight="1">
      <c r="B56" s="839" t="s">
        <v>42</v>
      </c>
      <c r="C56" s="841" t="s">
        <v>262</v>
      </c>
      <c r="D56" s="843" t="s">
        <v>127</v>
      </c>
      <c r="E56" s="843" t="s">
        <v>219</v>
      </c>
      <c r="F56" s="843" t="s">
        <v>220</v>
      </c>
      <c r="G56" s="843">
        <v>110</v>
      </c>
      <c r="H56" s="843">
        <v>1500</v>
      </c>
      <c r="I56" s="844" t="s">
        <v>206</v>
      </c>
      <c r="J56" s="845"/>
      <c r="K56" s="845"/>
      <c r="L56" s="845"/>
      <c r="M56" s="845"/>
      <c r="N56" s="846"/>
      <c r="O56" s="275">
        <f t="shared" si="1"/>
        <v>1500</v>
      </c>
      <c r="P56" s="276"/>
      <c r="Q56" s="277"/>
      <c r="R56" s="278"/>
      <c r="S56" s="278"/>
      <c r="T56" s="278"/>
      <c r="U56" s="278"/>
      <c r="V56" s="277"/>
      <c r="W56" s="277"/>
      <c r="X56" s="277"/>
      <c r="Y56" s="277"/>
      <c r="Z56" s="277"/>
      <c r="AA56" s="277"/>
      <c r="AB56" s="277">
        <v>120</v>
      </c>
      <c r="AC56" s="277">
        <v>180</v>
      </c>
      <c r="AD56" s="277">
        <v>240</v>
      </c>
      <c r="AE56" s="277">
        <v>240</v>
      </c>
      <c r="AF56" s="277">
        <v>240</v>
      </c>
      <c r="AG56" s="277">
        <v>240</v>
      </c>
      <c r="AH56" s="277"/>
      <c r="AI56" s="277">
        <v>240</v>
      </c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313"/>
    </row>
    <row r="57" spans="2:46" s="280" customFormat="1" ht="30" customHeight="1">
      <c r="B57" s="840"/>
      <c r="C57" s="842"/>
      <c r="D57" s="842"/>
      <c r="E57" s="842"/>
      <c r="F57" s="842"/>
      <c r="G57" s="842"/>
      <c r="H57" s="842"/>
      <c r="I57" s="847" t="s">
        <v>207</v>
      </c>
      <c r="J57" s="848"/>
      <c r="K57" s="848"/>
      <c r="L57" s="848"/>
      <c r="M57" s="848"/>
      <c r="N57" s="849"/>
      <c r="O57" s="270">
        <f t="shared" si="1"/>
        <v>1500</v>
      </c>
      <c r="P57" s="331"/>
      <c r="Q57" s="332"/>
      <c r="R57" s="333"/>
      <c r="S57" s="333"/>
      <c r="T57" s="333"/>
      <c r="U57" s="333"/>
      <c r="V57" s="332"/>
      <c r="W57" s="332"/>
      <c r="X57" s="332"/>
      <c r="Y57" s="332"/>
      <c r="Z57" s="332"/>
      <c r="AA57" s="332"/>
      <c r="AB57" s="332"/>
      <c r="AC57" s="332"/>
      <c r="AD57" s="332"/>
      <c r="AE57" s="332">
        <v>180</v>
      </c>
      <c r="AF57" s="332">
        <v>240</v>
      </c>
      <c r="AG57" s="332">
        <v>240</v>
      </c>
      <c r="AH57" s="332"/>
      <c r="AI57" s="332">
        <v>240</v>
      </c>
      <c r="AJ57" s="332">
        <v>240</v>
      </c>
      <c r="AK57" s="332">
        <v>240</v>
      </c>
      <c r="AL57" s="332">
        <v>120</v>
      </c>
      <c r="AM57" s="332"/>
      <c r="AN57" s="332"/>
      <c r="AO57" s="332"/>
      <c r="AP57" s="332"/>
      <c r="AQ57" s="332"/>
      <c r="AR57" s="332"/>
      <c r="AS57" s="332"/>
      <c r="AT57" s="313"/>
    </row>
    <row r="58" spans="2:46" s="280" customFormat="1" ht="30" customHeight="1">
      <c r="B58" s="839" t="s">
        <v>43</v>
      </c>
      <c r="C58" s="841" t="s">
        <v>263</v>
      </c>
      <c r="D58" s="843" t="s">
        <v>127</v>
      </c>
      <c r="E58" s="843" t="s">
        <v>138</v>
      </c>
      <c r="F58" s="843" t="s">
        <v>205</v>
      </c>
      <c r="G58" s="843">
        <v>50</v>
      </c>
      <c r="H58" s="843">
        <v>1000</v>
      </c>
      <c r="I58" s="844" t="s">
        <v>206</v>
      </c>
      <c r="J58" s="845"/>
      <c r="K58" s="845"/>
      <c r="L58" s="845"/>
      <c r="M58" s="845"/>
      <c r="N58" s="846"/>
      <c r="O58" s="275">
        <f t="shared" si="1"/>
        <v>1000</v>
      </c>
      <c r="P58" s="276"/>
      <c r="Q58" s="277"/>
      <c r="R58" s="278"/>
      <c r="S58" s="278"/>
      <c r="T58" s="278"/>
      <c r="U58" s="278"/>
      <c r="V58" s="277">
        <v>120</v>
      </c>
      <c r="W58" s="277">
        <v>160</v>
      </c>
      <c r="X58" s="277">
        <v>240</v>
      </c>
      <c r="Y58" s="277">
        <v>240</v>
      </c>
      <c r="Z58" s="277">
        <v>240</v>
      </c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313"/>
    </row>
    <row r="59" spans="2:46" s="280" customFormat="1" ht="30" customHeight="1">
      <c r="B59" s="840"/>
      <c r="C59" s="842"/>
      <c r="D59" s="842"/>
      <c r="E59" s="842"/>
      <c r="F59" s="842"/>
      <c r="G59" s="842"/>
      <c r="H59" s="842"/>
      <c r="I59" s="847" t="s">
        <v>207</v>
      </c>
      <c r="J59" s="848"/>
      <c r="K59" s="848"/>
      <c r="L59" s="848"/>
      <c r="M59" s="848"/>
      <c r="N59" s="849"/>
      <c r="O59" s="270">
        <f t="shared" si="1"/>
        <v>1000</v>
      </c>
      <c r="P59" s="331"/>
      <c r="Q59" s="332"/>
      <c r="R59" s="333"/>
      <c r="S59" s="333"/>
      <c r="T59" s="333"/>
      <c r="U59" s="333"/>
      <c r="V59" s="332"/>
      <c r="W59" s="332"/>
      <c r="X59" s="332"/>
      <c r="Y59" s="332">
        <v>80</v>
      </c>
      <c r="Z59" s="332">
        <v>160</v>
      </c>
      <c r="AA59" s="332"/>
      <c r="AB59" s="332">
        <v>240</v>
      </c>
      <c r="AC59" s="332">
        <v>240</v>
      </c>
      <c r="AD59" s="332">
        <v>240</v>
      </c>
      <c r="AE59" s="332">
        <v>40</v>
      </c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13"/>
    </row>
    <row r="60" spans="2:46" s="280" customFormat="1" ht="30" customHeight="1">
      <c r="B60" s="839" t="s">
        <v>44</v>
      </c>
      <c r="C60" s="841" t="s">
        <v>221</v>
      </c>
      <c r="D60" s="843" t="s">
        <v>127</v>
      </c>
      <c r="E60" s="843" t="s">
        <v>136</v>
      </c>
      <c r="F60" s="843" t="s">
        <v>205</v>
      </c>
      <c r="G60" s="843">
        <v>50</v>
      </c>
      <c r="H60" s="843">
        <v>1000</v>
      </c>
      <c r="I60" s="844" t="s">
        <v>206</v>
      </c>
      <c r="J60" s="845"/>
      <c r="K60" s="845"/>
      <c r="L60" s="845"/>
      <c r="M60" s="845"/>
      <c r="N60" s="846"/>
      <c r="O60" s="275">
        <f t="shared" si="1"/>
        <v>1000</v>
      </c>
      <c r="P60" s="314"/>
      <c r="Q60" s="277"/>
      <c r="R60" s="278"/>
      <c r="S60" s="278"/>
      <c r="T60" s="278"/>
      <c r="U60" s="278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>
        <v>120</v>
      </c>
      <c r="AK60" s="277">
        <v>180</v>
      </c>
      <c r="AL60" s="277">
        <v>240</v>
      </c>
      <c r="AM60" s="277">
        <v>240</v>
      </c>
      <c r="AN60" s="277">
        <v>220</v>
      </c>
      <c r="AO60" s="277"/>
      <c r="AP60" s="277"/>
      <c r="AQ60" s="277"/>
      <c r="AR60" s="277"/>
      <c r="AS60" s="277"/>
      <c r="AT60" s="313"/>
    </row>
    <row r="61" spans="2:46" s="280" customFormat="1" ht="30" customHeight="1">
      <c r="B61" s="840"/>
      <c r="C61" s="842"/>
      <c r="D61" s="842"/>
      <c r="E61" s="842"/>
      <c r="F61" s="842"/>
      <c r="G61" s="842"/>
      <c r="H61" s="842"/>
      <c r="I61" s="847" t="s">
        <v>207</v>
      </c>
      <c r="J61" s="848"/>
      <c r="K61" s="848"/>
      <c r="L61" s="848"/>
      <c r="M61" s="848"/>
      <c r="N61" s="849"/>
      <c r="O61" s="270">
        <f t="shared" si="1"/>
        <v>1000</v>
      </c>
      <c r="P61" s="331"/>
      <c r="Q61" s="332"/>
      <c r="R61" s="333"/>
      <c r="S61" s="333"/>
      <c r="T61" s="333"/>
      <c r="U61" s="333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>
        <v>80</v>
      </c>
      <c r="AN61" s="332">
        <v>160</v>
      </c>
      <c r="AO61" s="332"/>
      <c r="AP61" s="332">
        <v>240</v>
      </c>
      <c r="AQ61" s="332">
        <v>240</v>
      </c>
      <c r="AR61" s="332">
        <v>240</v>
      </c>
      <c r="AS61" s="517">
        <v>40</v>
      </c>
      <c r="AT61" s="313"/>
    </row>
    <row r="62" spans="2:46" s="280" customFormat="1" ht="30" customHeight="1">
      <c r="B62" s="839" t="s">
        <v>45</v>
      </c>
      <c r="C62" s="841" t="s">
        <v>222</v>
      </c>
      <c r="D62" s="843" t="s">
        <v>127</v>
      </c>
      <c r="E62" s="843" t="s">
        <v>138</v>
      </c>
      <c r="F62" s="843" t="s">
        <v>205</v>
      </c>
      <c r="G62" s="843">
        <v>35</v>
      </c>
      <c r="H62" s="843">
        <v>2000</v>
      </c>
      <c r="I62" s="844" t="s">
        <v>206</v>
      </c>
      <c r="J62" s="845"/>
      <c r="K62" s="845"/>
      <c r="L62" s="845"/>
      <c r="M62" s="845"/>
      <c r="N62" s="846"/>
      <c r="O62" s="275">
        <f t="shared" si="1"/>
        <v>980</v>
      </c>
      <c r="P62" s="314"/>
      <c r="Q62" s="277"/>
      <c r="R62" s="278"/>
      <c r="S62" s="278"/>
      <c r="T62" s="278"/>
      <c r="U62" s="278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>
        <v>180</v>
      </c>
      <c r="AQ62" s="277">
        <v>240</v>
      </c>
      <c r="AR62" s="277">
        <v>280</v>
      </c>
      <c r="AS62" s="279">
        <v>280</v>
      </c>
      <c r="AT62" s="313"/>
    </row>
    <row r="63" spans="2:46" s="280" customFormat="1" ht="30" customHeight="1" thickBot="1">
      <c r="B63" s="840"/>
      <c r="C63" s="842"/>
      <c r="D63" s="842"/>
      <c r="E63" s="842"/>
      <c r="F63" s="842"/>
      <c r="G63" s="842"/>
      <c r="H63" s="842"/>
      <c r="I63" s="847" t="s">
        <v>207</v>
      </c>
      <c r="J63" s="848"/>
      <c r="K63" s="848"/>
      <c r="L63" s="848"/>
      <c r="M63" s="848"/>
      <c r="N63" s="849"/>
      <c r="O63" s="270">
        <f t="shared" si="1"/>
        <v>0</v>
      </c>
      <c r="P63" s="315"/>
      <c r="Q63" s="298"/>
      <c r="R63" s="316"/>
      <c r="S63" s="316"/>
      <c r="T63" s="316"/>
      <c r="U63" s="316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/>
      <c r="AQ63" s="298"/>
      <c r="AR63" s="298"/>
      <c r="AS63" s="299"/>
      <c r="AT63" s="313"/>
    </row>
    <row r="64" spans="2:46" s="260" customFormat="1" ht="30" hidden="1" customHeight="1">
      <c r="B64" s="288"/>
      <c r="C64" s="289"/>
      <c r="D64" s="289"/>
      <c r="E64" s="289"/>
      <c r="F64" s="289"/>
      <c r="G64" s="289"/>
      <c r="H64" s="289"/>
      <c r="I64" s="290"/>
      <c r="J64" s="290"/>
      <c r="K64" s="291"/>
      <c r="L64" s="291"/>
      <c r="M64" s="292"/>
      <c r="N64" s="293"/>
      <c r="O64" s="294"/>
      <c r="P64" s="297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9"/>
      <c r="AT64" s="296"/>
    </row>
    <row r="65" spans="2:46" s="260" customFormat="1" ht="30" hidden="1" customHeight="1">
      <c r="B65" s="288"/>
      <c r="C65" s="289"/>
      <c r="D65" s="289"/>
      <c r="E65" s="289"/>
      <c r="F65" s="289"/>
      <c r="G65" s="289"/>
      <c r="H65" s="289"/>
      <c r="I65" s="290"/>
      <c r="J65" s="290"/>
      <c r="K65" s="291"/>
      <c r="L65" s="291"/>
      <c r="M65" s="292"/>
      <c r="N65" s="293"/>
      <c r="O65" s="294"/>
      <c r="P65" s="297"/>
      <c r="Q65" s="298"/>
      <c r="R65" s="298"/>
      <c r="S65" s="298"/>
      <c r="T65" s="298"/>
      <c r="U65" s="298"/>
      <c r="V65" s="298"/>
      <c r="W65" s="298"/>
      <c r="X65" s="298"/>
      <c r="Y65" s="298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8"/>
      <c r="AN65" s="298"/>
      <c r="AO65" s="298"/>
      <c r="AP65" s="298"/>
      <c r="AQ65" s="298"/>
      <c r="AR65" s="298"/>
      <c r="AS65" s="299"/>
      <c r="AT65" s="296"/>
    </row>
    <row r="66" spans="2:46" s="260" customFormat="1" ht="30" hidden="1" customHeight="1">
      <c r="B66" s="288"/>
      <c r="C66" s="289"/>
      <c r="D66" s="289"/>
      <c r="E66" s="289"/>
      <c r="F66" s="289"/>
      <c r="G66" s="289"/>
      <c r="H66" s="289"/>
      <c r="I66" s="290"/>
      <c r="J66" s="290"/>
      <c r="K66" s="291"/>
      <c r="L66" s="291"/>
      <c r="M66" s="292"/>
      <c r="N66" s="293"/>
      <c r="O66" s="294"/>
      <c r="P66" s="297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8"/>
      <c r="AN66" s="298"/>
      <c r="AO66" s="298"/>
      <c r="AP66" s="298"/>
      <c r="AQ66" s="298"/>
      <c r="AR66" s="298"/>
      <c r="AS66" s="299"/>
      <c r="AT66" s="296"/>
    </row>
    <row r="67" spans="2:46" s="260" customFormat="1" ht="30" hidden="1" customHeight="1" thickBot="1">
      <c r="B67" s="317"/>
      <c r="C67" s="318"/>
      <c r="D67" s="318"/>
      <c r="E67" s="318"/>
      <c r="F67" s="318"/>
      <c r="G67" s="318"/>
      <c r="H67" s="318"/>
      <c r="I67" s="319"/>
      <c r="J67" s="319"/>
      <c r="K67" s="320"/>
      <c r="L67" s="320"/>
      <c r="M67" s="321"/>
      <c r="N67" s="322"/>
      <c r="O67" s="323"/>
      <c r="P67" s="285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7"/>
      <c r="AT67" s="296"/>
    </row>
    <row r="68" spans="2:46" s="305" customFormat="1" ht="30" customHeight="1">
      <c r="B68" s="300"/>
      <c r="C68" s="301"/>
      <c r="D68" s="301"/>
      <c r="E68" s="302"/>
      <c r="F68" s="302"/>
      <c r="G68" s="302"/>
      <c r="H68" s="303"/>
      <c r="I68" s="850" t="s">
        <v>206</v>
      </c>
      <c r="J68" s="851"/>
      <c r="K68" s="851"/>
      <c r="L68" s="851"/>
      <c r="M68" s="851"/>
      <c r="N68" s="852"/>
      <c r="O68" s="304">
        <f>SUM(O54,O56,O58,O60,O62)</f>
        <v>5100</v>
      </c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  <c r="AE68" s="324"/>
      <c r="AF68" s="324"/>
      <c r="AG68" s="324"/>
      <c r="AH68" s="324"/>
      <c r="AI68" s="324"/>
      <c r="AJ68" s="324"/>
      <c r="AK68" s="324"/>
      <c r="AL68" s="324"/>
      <c r="AM68" s="324"/>
      <c r="AN68" s="324"/>
      <c r="AO68" s="324"/>
      <c r="AP68" s="324"/>
      <c r="AQ68" s="324"/>
      <c r="AR68" s="324"/>
      <c r="AS68" s="324"/>
      <c r="AT68" s="325"/>
    </row>
    <row r="69" spans="2:46" s="305" customFormat="1" ht="30" customHeight="1" thickBot="1">
      <c r="B69" s="306"/>
      <c r="C69" s="307"/>
      <c r="D69" s="307"/>
      <c r="E69" s="308"/>
      <c r="F69" s="308"/>
      <c r="G69" s="308"/>
      <c r="H69" s="309"/>
      <c r="I69" s="836" t="s">
        <v>207</v>
      </c>
      <c r="J69" s="837"/>
      <c r="K69" s="837"/>
      <c r="L69" s="837"/>
      <c r="M69" s="837"/>
      <c r="N69" s="838"/>
      <c r="O69" s="310">
        <f>SUM(O55,O57,O59,O61,O63)</f>
        <v>5040</v>
      </c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326"/>
      <c r="AQ69" s="326"/>
      <c r="AR69" s="326"/>
      <c r="AS69" s="326"/>
      <c r="AT69" s="325"/>
    </row>
    <row r="70" spans="2:46" ht="27.75" customHeight="1">
      <c r="D70" s="246" t="s">
        <v>224</v>
      </c>
    </row>
    <row r="71" spans="2:46" ht="18" customHeight="1">
      <c r="D71" s="247" t="s">
        <v>193</v>
      </c>
      <c r="V71" s="869"/>
      <c r="W71" s="869"/>
    </row>
    <row r="72" spans="2:46" ht="5.25" customHeight="1"/>
    <row r="73" spans="2:46" s="248" customFormat="1" ht="16.5" customHeight="1" thickBot="1">
      <c r="E73" s="249" t="s">
        <v>194</v>
      </c>
      <c r="F73" s="250">
        <f>I73-N73</f>
        <v>0</v>
      </c>
      <c r="G73" s="251"/>
      <c r="H73" s="249" t="s">
        <v>195</v>
      </c>
      <c r="I73" s="854">
        <v>19</v>
      </c>
      <c r="J73" s="854"/>
      <c r="K73" s="252"/>
      <c r="M73" s="249" t="s">
        <v>196</v>
      </c>
      <c r="N73" s="855">
        <f>COUNT(P75:AS75)</f>
        <v>19</v>
      </c>
      <c r="O73" s="855"/>
      <c r="P73" s="253" t="s">
        <v>123</v>
      </c>
      <c r="Q73" s="253" t="s">
        <v>119</v>
      </c>
      <c r="R73" s="253" t="s">
        <v>119</v>
      </c>
      <c r="S73" s="253" t="s">
        <v>120</v>
      </c>
      <c r="T73" s="253" t="s">
        <v>121</v>
      </c>
      <c r="U73" s="253" t="s">
        <v>122</v>
      </c>
      <c r="V73" s="253" t="s">
        <v>121</v>
      </c>
      <c r="W73" s="253" t="s">
        <v>123</v>
      </c>
      <c r="X73" s="253" t="s">
        <v>119</v>
      </c>
      <c r="Y73" s="253" t="s">
        <v>119</v>
      </c>
      <c r="Z73" s="253" t="s">
        <v>120</v>
      </c>
      <c r="AA73" s="253" t="s">
        <v>121</v>
      </c>
      <c r="AB73" s="253" t="s">
        <v>122</v>
      </c>
      <c r="AC73" s="253" t="s">
        <v>121</v>
      </c>
      <c r="AD73" s="253" t="s">
        <v>123</v>
      </c>
      <c r="AE73" s="253" t="s">
        <v>119</v>
      </c>
      <c r="AF73" s="253" t="s">
        <v>119</v>
      </c>
      <c r="AG73" s="253" t="s">
        <v>120</v>
      </c>
      <c r="AH73" s="253" t="s">
        <v>121</v>
      </c>
      <c r="AI73" s="253" t="s">
        <v>122</v>
      </c>
      <c r="AJ73" s="253" t="s">
        <v>121</v>
      </c>
      <c r="AK73" s="253" t="s">
        <v>123</v>
      </c>
      <c r="AL73" s="253" t="s">
        <v>119</v>
      </c>
      <c r="AM73" s="253" t="s">
        <v>119</v>
      </c>
      <c r="AN73" s="253" t="s">
        <v>120</v>
      </c>
      <c r="AO73" s="253" t="s">
        <v>121</v>
      </c>
      <c r="AP73" s="253" t="s">
        <v>122</v>
      </c>
      <c r="AQ73" s="253" t="s">
        <v>121</v>
      </c>
      <c r="AR73" s="253" t="s">
        <v>123</v>
      </c>
      <c r="AS73" s="253" t="s">
        <v>119</v>
      </c>
      <c r="AT73" s="253" t="s">
        <v>119</v>
      </c>
    </row>
    <row r="74" spans="2:46" s="260" customFormat="1" ht="18" customHeight="1" thickBot="1">
      <c r="B74" s="856" t="s">
        <v>115</v>
      </c>
      <c r="C74" s="858" t="s">
        <v>117</v>
      </c>
      <c r="D74" s="858" t="s">
        <v>116</v>
      </c>
      <c r="E74" s="858" t="s">
        <v>197</v>
      </c>
      <c r="F74" s="858"/>
      <c r="G74" s="858"/>
      <c r="H74" s="860" t="s">
        <v>198</v>
      </c>
      <c r="I74" s="861" t="s">
        <v>199</v>
      </c>
      <c r="J74" s="862"/>
      <c r="K74" s="862"/>
      <c r="L74" s="862"/>
      <c r="M74" s="862"/>
      <c r="N74" s="863"/>
      <c r="O74" s="867" t="s">
        <v>200</v>
      </c>
      <c r="P74" s="327">
        <v>1</v>
      </c>
      <c r="Q74" s="256">
        <v>2</v>
      </c>
      <c r="R74" s="257">
        <v>3</v>
      </c>
      <c r="S74" s="255">
        <v>4</v>
      </c>
      <c r="T74" s="255">
        <v>5</v>
      </c>
      <c r="U74" s="255">
        <v>6</v>
      </c>
      <c r="V74" s="255">
        <v>7</v>
      </c>
      <c r="W74" s="255">
        <v>8</v>
      </c>
      <c r="X74" s="256">
        <v>9</v>
      </c>
      <c r="Y74" s="257">
        <v>10</v>
      </c>
      <c r="Z74" s="255">
        <v>11</v>
      </c>
      <c r="AA74" s="255">
        <v>12</v>
      </c>
      <c r="AB74" s="255">
        <v>13</v>
      </c>
      <c r="AC74" s="255">
        <v>14</v>
      </c>
      <c r="AD74" s="255">
        <v>15</v>
      </c>
      <c r="AE74" s="256">
        <v>16</v>
      </c>
      <c r="AF74" s="257">
        <v>17</v>
      </c>
      <c r="AG74" s="255">
        <v>18</v>
      </c>
      <c r="AH74" s="255">
        <v>19</v>
      </c>
      <c r="AI74" s="255">
        <v>20</v>
      </c>
      <c r="AJ74" s="255">
        <v>21</v>
      </c>
      <c r="AK74" s="255">
        <v>22</v>
      </c>
      <c r="AL74" s="256">
        <v>23</v>
      </c>
      <c r="AM74" s="257">
        <v>24</v>
      </c>
      <c r="AN74" s="255">
        <v>25</v>
      </c>
      <c r="AO74" s="255">
        <v>26</v>
      </c>
      <c r="AP74" s="255">
        <v>27</v>
      </c>
      <c r="AQ74" s="255">
        <v>28</v>
      </c>
      <c r="AR74" s="255">
        <v>29</v>
      </c>
      <c r="AS74" s="256">
        <v>30</v>
      </c>
      <c r="AT74" s="257">
        <v>31</v>
      </c>
    </row>
    <row r="75" spans="2:46" s="260" customFormat="1" ht="17.25" customHeight="1" thickBot="1">
      <c r="B75" s="857"/>
      <c r="C75" s="859"/>
      <c r="D75" s="859"/>
      <c r="E75" s="261" t="s">
        <v>201</v>
      </c>
      <c r="F75" s="261" t="s">
        <v>202</v>
      </c>
      <c r="G75" s="261" t="s">
        <v>203</v>
      </c>
      <c r="H75" s="859"/>
      <c r="I75" s="864"/>
      <c r="J75" s="865"/>
      <c r="K75" s="865"/>
      <c r="L75" s="865"/>
      <c r="M75" s="865"/>
      <c r="N75" s="866"/>
      <c r="O75" s="868"/>
      <c r="P75" s="262">
        <v>2</v>
      </c>
      <c r="Q75" s="263">
        <v>2</v>
      </c>
      <c r="R75" s="263"/>
      <c r="S75" s="263">
        <v>2</v>
      </c>
      <c r="T75" s="263">
        <v>2</v>
      </c>
      <c r="U75" s="263">
        <v>2</v>
      </c>
      <c r="V75" s="263">
        <v>2</v>
      </c>
      <c r="W75" s="263">
        <v>2</v>
      </c>
      <c r="X75" s="263">
        <v>2</v>
      </c>
      <c r="Y75" s="263"/>
      <c r="Z75" s="263">
        <v>2</v>
      </c>
      <c r="AA75" s="263">
        <v>2</v>
      </c>
      <c r="AB75" s="263">
        <v>2</v>
      </c>
      <c r="AC75" s="263">
        <v>2</v>
      </c>
      <c r="AD75" s="263">
        <v>2</v>
      </c>
      <c r="AE75" s="263">
        <v>2</v>
      </c>
      <c r="AF75" s="263"/>
      <c r="AG75" s="263">
        <v>2</v>
      </c>
      <c r="AH75" s="263">
        <v>2</v>
      </c>
      <c r="AI75" s="263">
        <v>2</v>
      </c>
      <c r="AJ75" s="263">
        <v>2</v>
      </c>
      <c r="AK75" s="263">
        <v>2</v>
      </c>
      <c r="AL75" s="263"/>
      <c r="AM75" s="263"/>
      <c r="AN75" s="263"/>
      <c r="AO75" s="263"/>
      <c r="AP75" s="263"/>
      <c r="AQ75" s="263"/>
      <c r="AR75" s="263"/>
      <c r="AS75" s="263"/>
      <c r="AT75" s="263"/>
    </row>
    <row r="76" spans="2:46" s="260" customFormat="1" ht="30" customHeight="1">
      <c r="B76" s="853" t="s">
        <v>41</v>
      </c>
      <c r="C76" s="841" t="s">
        <v>222</v>
      </c>
      <c r="D76" s="843" t="s">
        <v>127</v>
      </c>
      <c r="E76" s="843" t="s">
        <v>138</v>
      </c>
      <c r="F76" s="843" t="s">
        <v>205</v>
      </c>
      <c r="G76" s="843">
        <v>35</v>
      </c>
      <c r="H76" s="843">
        <v>2000</v>
      </c>
      <c r="I76" s="844" t="s">
        <v>206</v>
      </c>
      <c r="J76" s="845"/>
      <c r="K76" s="845"/>
      <c r="L76" s="845"/>
      <c r="M76" s="845"/>
      <c r="N76" s="846"/>
      <c r="O76" s="275">
        <f t="shared" ref="O76:O81" si="2">SUM(P76:AS76)</f>
        <v>1020</v>
      </c>
      <c r="P76" s="328">
        <v>240</v>
      </c>
      <c r="Q76" s="329">
        <v>240</v>
      </c>
      <c r="R76" s="329"/>
      <c r="S76" s="329">
        <v>240</v>
      </c>
      <c r="T76" s="329">
        <v>280</v>
      </c>
      <c r="U76" s="329">
        <v>20</v>
      </c>
      <c r="V76" s="329"/>
      <c r="W76" s="329"/>
      <c r="X76" s="329"/>
      <c r="Y76" s="329"/>
      <c r="Z76" s="329"/>
      <c r="AA76" s="329"/>
      <c r="AB76" s="329"/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/>
      <c r="AS76" s="329"/>
      <c r="AT76" s="518"/>
    </row>
    <row r="77" spans="2:46" s="260" customFormat="1" ht="30" customHeight="1">
      <c r="B77" s="840"/>
      <c r="C77" s="842"/>
      <c r="D77" s="842"/>
      <c r="E77" s="842"/>
      <c r="F77" s="842"/>
      <c r="G77" s="842"/>
      <c r="H77" s="842"/>
      <c r="I77" s="847" t="s">
        <v>207</v>
      </c>
      <c r="J77" s="848"/>
      <c r="K77" s="848"/>
      <c r="L77" s="848"/>
      <c r="M77" s="848"/>
      <c r="N77" s="849"/>
      <c r="O77" s="270">
        <f t="shared" si="2"/>
        <v>2000</v>
      </c>
      <c r="P77" s="331">
        <v>180</v>
      </c>
      <c r="Q77" s="332">
        <v>280</v>
      </c>
      <c r="R77" s="332"/>
      <c r="S77" s="332">
        <v>280</v>
      </c>
      <c r="T77" s="332">
        <v>280</v>
      </c>
      <c r="U77" s="332">
        <v>280</v>
      </c>
      <c r="V77" s="332">
        <v>280</v>
      </c>
      <c r="W77" s="332">
        <v>240</v>
      </c>
      <c r="X77" s="332">
        <v>180</v>
      </c>
      <c r="Y77" s="332"/>
      <c r="Z77" s="332"/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519"/>
    </row>
    <row r="78" spans="2:46" s="280" customFormat="1" ht="30" customHeight="1">
      <c r="B78" s="839" t="s">
        <v>42</v>
      </c>
      <c r="C78" s="841" t="s">
        <v>223</v>
      </c>
      <c r="D78" s="843" t="s">
        <v>127</v>
      </c>
      <c r="E78" s="843" t="s">
        <v>138</v>
      </c>
      <c r="F78" s="843" t="s">
        <v>205</v>
      </c>
      <c r="G78" s="843">
        <v>50</v>
      </c>
      <c r="H78" s="843">
        <v>2000</v>
      </c>
      <c r="I78" s="844" t="s">
        <v>206</v>
      </c>
      <c r="J78" s="845"/>
      <c r="K78" s="845"/>
      <c r="L78" s="845"/>
      <c r="M78" s="845"/>
      <c r="N78" s="846"/>
      <c r="O78" s="275">
        <f t="shared" si="2"/>
        <v>2000</v>
      </c>
      <c r="P78" s="276"/>
      <c r="Q78" s="277"/>
      <c r="R78" s="277"/>
      <c r="S78" s="277"/>
      <c r="T78" s="277"/>
      <c r="U78" s="277">
        <v>180</v>
      </c>
      <c r="V78" s="277">
        <v>240</v>
      </c>
      <c r="W78" s="277">
        <v>240</v>
      </c>
      <c r="X78" s="277"/>
      <c r="Y78" s="277"/>
      <c r="Z78" s="277">
        <v>240</v>
      </c>
      <c r="AA78" s="277">
        <v>240</v>
      </c>
      <c r="AB78" s="277">
        <v>240</v>
      </c>
      <c r="AC78" s="277">
        <v>240</v>
      </c>
      <c r="AD78" s="277">
        <v>240</v>
      </c>
      <c r="AE78" s="277">
        <v>140</v>
      </c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520"/>
    </row>
    <row r="79" spans="2:46" s="280" customFormat="1" ht="30" customHeight="1">
      <c r="B79" s="840"/>
      <c r="C79" s="842"/>
      <c r="D79" s="842"/>
      <c r="E79" s="842"/>
      <c r="F79" s="842"/>
      <c r="G79" s="842"/>
      <c r="H79" s="842"/>
      <c r="I79" s="847" t="s">
        <v>207</v>
      </c>
      <c r="J79" s="848"/>
      <c r="K79" s="848"/>
      <c r="L79" s="848"/>
      <c r="M79" s="848"/>
      <c r="N79" s="849"/>
      <c r="O79" s="270">
        <f t="shared" si="2"/>
        <v>2000</v>
      </c>
      <c r="P79" s="331"/>
      <c r="Q79" s="332"/>
      <c r="R79" s="332"/>
      <c r="S79" s="332"/>
      <c r="T79" s="332"/>
      <c r="U79" s="332"/>
      <c r="V79" s="332">
        <v>180</v>
      </c>
      <c r="W79" s="332">
        <v>240</v>
      </c>
      <c r="X79" s="332"/>
      <c r="Y79" s="332"/>
      <c r="Z79" s="332">
        <v>240</v>
      </c>
      <c r="AA79" s="332">
        <v>240</v>
      </c>
      <c r="AB79" s="332">
        <v>240</v>
      </c>
      <c r="AC79" s="332">
        <v>240</v>
      </c>
      <c r="AD79" s="332">
        <v>240</v>
      </c>
      <c r="AE79" s="332">
        <v>240</v>
      </c>
      <c r="AF79" s="332"/>
      <c r="AG79" s="332">
        <v>140</v>
      </c>
      <c r="AH79" s="332"/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519"/>
    </row>
    <row r="80" spans="2:46" s="280" customFormat="1" ht="30" customHeight="1">
      <c r="B80" s="839" t="s">
        <v>43</v>
      </c>
      <c r="C80" s="491" t="s">
        <v>225</v>
      </c>
      <c r="D80" s="490" t="s">
        <v>127</v>
      </c>
      <c r="E80" s="490" t="s">
        <v>138</v>
      </c>
      <c r="F80" s="490" t="s">
        <v>205</v>
      </c>
      <c r="G80" s="490">
        <v>50</v>
      </c>
      <c r="H80" s="490">
        <v>1000</v>
      </c>
      <c r="I80" s="844" t="s">
        <v>206</v>
      </c>
      <c r="J80" s="845"/>
      <c r="K80" s="845"/>
      <c r="L80" s="845"/>
      <c r="M80" s="845"/>
      <c r="N80" s="846"/>
      <c r="O80" s="275">
        <f t="shared" si="2"/>
        <v>1000</v>
      </c>
      <c r="P80" s="276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>
        <v>60</v>
      </c>
      <c r="AF80" s="277"/>
      <c r="AG80" s="277">
        <v>240</v>
      </c>
      <c r="AH80" s="277">
        <v>240</v>
      </c>
      <c r="AI80" s="277">
        <v>240</v>
      </c>
      <c r="AJ80" s="277">
        <v>220</v>
      </c>
      <c r="AK80" s="277"/>
      <c r="AL80" s="277"/>
      <c r="AM80" s="277"/>
      <c r="AN80" s="277"/>
      <c r="AO80" s="277"/>
      <c r="AP80" s="277"/>
      <c r="AQ80" s="277"/>
      <c r="AR80" s="277"/>
      <c r="AS80" s="277"/>
      <c r="AT80" s="520"/>
    </row>
    <row r="81" spans="2:46" s="280" customFormat="1" ht="30" customHeight="1" thickBot="1">
      <c r="B81" s="840"/>
      <c r="C81" s="489"/>
      <c r="D81" s="489"/>
      <c r="E81" s="489"/>
      <c r="F81" s="489"/>
      <c r="G81" s="489"/>
      <c r="H81" s="489"/>
      <c r="I81" s="847" t="s">
        <v>207</v>
      </c>
      <c r="J81" s="848"/>
      <c r="K81" s="848"/>
      <c r="L81" s="848"/>
      <c r="M81" s="848"/>
      <c r="N81" s="849"/>
      <c r="O81" s="270">
        <f t="shared" si="2"/>
        <v>1000</v>
      </c>
      <c r="P81" s="331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>
        <v>60</v>
      </c>
      <c r="AH81" s="332">
        <v>240</v>
      </c>
      <c r="AI81" s="332">
        <v>240</v>
      </c>
      <c r="AJ81" s="332">
        <v>240</v>
      </c>
      <c r="AK81" s="332">
        <v>220</v>
      </c>
      <c r="AL81" s="332"/>
      <c r="AM81" s="332"/>
      <c r="AN81" s="332"/>
      <c r="AO81" s="332"/>
      <c r="AP81" s="332"/>
      <c r="AQ81" s="332"/>
      <c r="AR81" s="332"/>
      <c r="AS81" s="332"/>
      <c r="AT81" s="519"/>
    </row>
    <row r="82" spans="2:46" s="280" customFormat="1" ht="30" hidden="1" customHeight="1">
      <c r="B82" s="839"/>
      <c r="C82" s="841"/>
      <c r="D82" s="843"/>
      <c r="E82" s="843"/>
      <c r="F82" s="843"/>
      <c r="G82" s="843"/>
      <c r="H82" s="843"/>
      <c r="I82" s="844"/>
      <c r="J82" s="845"/>
      <c r="K82" s="845"/>
      <c r="L82" s="845"/>
      <c r="M82" s="845"/>
      <c r="N82" s="846"/>
      <c r="O82" s="275"/>
      <c r="P82" s="276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520"/>
    </row>
    <row r="83" spans="2:46" s="280" customFormat="1" ht="30" hidden="1" customHeight="1">
      <c r="B83" s="840"/>
      <c r="C83" s="842"/>
      <c r="D83" s="842"/>
      <c r="E83" s="842"/>
      <c r="F83" s="842"/>
      <c r="G83" s="842"/>
      <c r="H83" s="842"/>
      <c r="I83" s="847"/>
      <c r="J83" s="848"/>
      <c r="K83" s="848"/>
      <c r="L83" s="848"/>
      <c r="M83" s="848"/>
      <c r="N83" s="849"/>
      <c r="O83" s="270"/>
      <c r="P83" s="331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519"/>
    </row>
    <row r="84" spans="2:46" s="280" customFormat="1" ht="30" hidden="1" customHeight="1">
      <c r="B84" s="839"/>
      <c r="C84" s="841"/>
      <c r="D84" s="843"/>
      <c r="E84" s="843"/>
      <c r="F84" s="843"/>
      <c r="G84" s="843"/>
      <c r="H84" s="843"/>
      <c r="I84" s="844"/>
      <c r="J84" s="845"/>
      <c r="K84" s="845"/>
      <c r="L84" s="845"/>
      <c r="M84" s="845"/>
      <c r="N84" s="846"/>
      <c r="O84" s="275"/>
      <c r="P84" s="276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7"/>
      <c r="AS84" s="277"/>
      <c r="AT84" s="520"/>
    </row>
    <row r="85" spans="2:46" s="280" customFormat="1" ht="30" hidden="1" customHeight="1">
      <c r="B85" s="840"/>
      <c r="C85" s="842"/>
      <c r="D85" s="842"/>
      <c r="E85" s="842"/>
      <c r="F85" s="842"/>
      <c r="G85" s="842"/>
      <c r="H85" s="842"/>
      <c r="I85" s="847"/>
      <c r="J85" s="848"/>
      <c r="K85" s="848"/>
      <c r="L85" s="848"/>
      <c r="M85" s="848"/>
      <c r="N85" s="849"/>
      <c r="O85" s="270"/>
      <c r="P85" s="331"/>
      <c r="Q85" s="332"/>
      <c r="R85" s="332"/>
      <c r="S85" s="332"/>
      <c r="T85" s="332"/>
      <c r="U85" s="332"/>
      <c r="V85" s="332"/>
      <c r="W85" s="332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2"/>
      <c r="AK85" s="332"/>
      <c r="AL85" s="332"/>
      <c r="AM85" s="332"/>
      <c r="AN85" s="332"/>
      <c r="AO85" s="332"/>
      <c r="AP85" s="332"/>
      <c r="AQ85" s="332"/>
      <c r="AR85" s="332"/>
      <c r="AS85" s="332"/>
      <c r="AT85" s="519"/>
    </row>
    <row r="86" spans="2:46" s="260" customFormat="1" ht="30" hidden="1" customHeight="1">
      <c r="B86" s="288"/>
      <c r="C86" s="289"/>
      <c r="D86" s="289"/>
      <c r="E86" s="289"/>
      <c r="F86" s="289"/>
      <c r="G86" s="289"/>
      <c r="H86" s="289"/>
      <c r="I86" s="290"/>
      <c r="J86" s="290"/>
      <c r="K86" s="291"/>
      <c r="L86" s="291"/>
      <c r="M86" s="292"/>
      <c r="N86" s="293"/>
      <c r="O86" s="294"/>
      <c r="P86" s="29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521"/>
    </row>
    <row r="87" spans="2:46" s="260" customFormat="1" ht="30" hidden="1" customHeight="1">
      <c r="B87" s="288"/>
      <c r="C87" s="289"/>
      <c r="D87" s="289"/>
      <c r="E87" s="289"/>
      <c r="F87" s="289"/>
      <c r="G87" s="289"/>
      <c r="H87" s="289"/>
      <c r="I87" s="290"/>
      <c r="J87" s="290"/>
      <c r="K87" s="291"/>
      <c r="L87" s="291"/>
      <c r="M87" s="292"/>
      <c r="N87" s="293"/>
      <c r="O87" s="294"/>
      <c r="P87" s="297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298"/>
      <c r="AF87" s="298"/>
      <c r="AG87" s="298"/>
      <c r="AH87" s="298"/>
      <c r="AI87" s="298"/>
      <c r="AJ87" s="298"/>
      <c r="AK87" s="298"/>
      <c r="AL87" s="298"/>
      <c r="AM87" s="298"/>
      <c r="AN87" s="298"/>
      <c r="AO87" s="298"/>
      <c r="AP87" s="298"/>
      <c r="AQ87" s="298"/>
      <c r="AR87" s="298"/>
      <c r="AS87" s="298"/>
      <c r="AT87" s="521"/>
    </row>
    <row r="88" spans="2:46" s="260" customFormat="1" ht="30" hidden="1" customHeight="1">
      <c r="B88" s="288"/>
      <c r="C88" s="289"/>
      <c r="D88" s="289"/>
      <c r="E88" s="289"/>
      <c r="F88" s="289"/>
      <c r="G88" s="289"/>
      <c r="H88" s="289"/>
      <c r="I88" s="290"/>
      <c r="J88" s="290"/>
      <c r="K88" s="291"/>
      <c r="L88" s="291"/>
      <c r="M88" s="292"/>
      <c r="N88" s="293"/>
      <c r="O88" s="294"/>
      <c r="P88" s="297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  <c r="AH88" s="298"/>
      <c r="AI88" s="298"/>
      <c r="AJ88" s="298"/>
      <c r="AK88" s="298"/>
      <c r="AL88" s="298"/>
      <c r="AM88" s="298"/>
      <c r="AN88" s="298"/>
      <c r="AO88" s="298"/>
      <c r="AP88" s="298"/>
      <c r="AQ88" s="298"/>
      <c r="AR88" s="298"/>
      <c r="AS88" s="298"/>
      <c r="AT88" s="521"/>
    </row>
    <row r="89" spans="2:46" s="260" customFormat="1" ht="30" hidden="1" customHeight="1" thickBot="1">
      <c r="B89" s="317"/>
      <c r="C89" s="318"/>
      <c r="D89" s="318"/>
      <c r="E89" s="318"/>
      <c r="F89" s="318"/>
      <c r="G89" s="318"/>
      <c r="H89" s="318"/>
      <c r="I89" s="319"/>
      <c r="J89" s="319"/>
      <c r="K89" s="320"/>
      <c r="L89" s="320"/>
      <c r="M89" s="321"/>
      <c r="N89" s="322"/>
      <c r="O89" s="323"/>
      <c r="P89" s="285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522"/>
    </row>
    <row r="90" spans="2:46" s="305" customFormat="1" ht="30" customHeight="1">
      <c r="B90" s="300"/>
      <c r="C90" s="301"/>
      <c r="D90" s="301"/>
      <c r="E90" s="302"/>
      <c r="F90" s="302"/>
      <c r="G90" s="302"/>
      <c r="H90" s="303"/>
      <c r="I90" s="850" t="s">
        <v>206</v>
      </c>
      <c r="J90" s="851"/>
      <c r="K90" s="851"/>
      <c r="L90" s="851"/>
      <c r="M90" s="851"/>
      <c r="N90" s="852"/>
      <c r="O90" s="304">
        <f>SUM(O76,O78,O80,O82,O84)</f>
        <v>4020</v>
      </c>
      <c r="P90" s="324"/>
      <c r="Q90" s="324"/>
      <c r="R90" s="324"/>
      <c r="S90" s="324"/>
      <c r="T90" s="324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  <c r="AE90" s="301"/>
      <c r="AF90" s="301"/>
      <c r="AG90" s="301"/>
      <c r="AH90" s="301"/>
      <c r="AI90" s="301"/>
      <c r="AJ90" s="301"/>
      <c r="AK90" s="301"/>
      <c r="AL90" s="301"/>
      <c r="AM90" s="324"/>
      <c r="AN90" s="324"/>
      <c r="AO90" s="324"/>
      <c r="AP90" s="324"/>
      <c r="AQ90" s="301"/>
      <c r="AR90" s="301"/>
      <c r="AS90" s="301"/>
      <c r="AT90" s="523"/>
    </row>
    <row r="91" spans="2:46" s="305" customFormat="1" ht="30" customHeight="1" thickBot="1">
      <c r="B91" s="306"/>
      <c r="C91" s="307"/>
      <c r="D91" s="307"/>
      <c r="E91" s="308"/>
      <c r="F91" s="308"/>
      <c r="G91" s="308"/>
      <c r="H91" s="309"/>
      <c r="I91" s="836" t="s">
        <v>207</v>
      </c>
      <c r="J91" s="837"/>
      <c r="K91" s="837"/>
      <c r="L91" s="837"/>
      <c r="M91" s="837"/>
      <c r="N91" s="838"/>
      <c r="O91" s="310">
        <f>SUM(O77,O79,O81,O83,O85)</f>
        <v>5000</v>
      </c>
      <c r="P91" s="326"/>
      <c r="Q91" s="326"/>
      <c r="R91" s="326"/>
      <c r="S91" s="326"/>
      <c r="T91" s="326"/>
      <c r="U91" s="334"/>
      <c r="V91" s="334"/>
      <c r="W91" s="334"/>
      <c r="X91" s="334"/>
      <c r="Y91" s="334"/>
      <c r="Z91" s="334"/>
      <c r="AA91" s="334"/>
      <c r="AB91" s="334"/>
      <c r="AC91" s="334"/>
      <c r="AD91" s="334"/>
      <c r="AE91" s="334"/>
      <c r="AF91" s="334"/>
      <c r="AG91" s="334"/>
      <c r="AH91" s="334"/>
      <c r="AI91" s="334"/>
      <c r="AJ91" s="334"/>
      <c r="AK91" s="334"/>
      <c r="AL91" s="334"/>
      <c r="AM91" s="326"/>
      <c r="AN91" s="326"/>
      <c r="AO91" s="326"/>
      <c r="AP91" s="326"/>
      <c r="AQ91" s="334"/>
      <c r="AR91" s="334"/>
      <c r="AS91" s="334"/>
      <c r="AT91" s="524"/>
    </row>
  </sheetData>
  <mergeCells count="228">
    <mergeCell ref="V3:W3"/>
    <mergeCell ref="I5:J5"/>
    <mergeCell ref="N5:O5"/>
    <mergeCell ref="B6:B7"/>
    <mergeCell ref="C6:C7"/>
    <mergeCell ref="D6:D7"/>
    <mergeCell ref="E6:G6"/>
    <mergeCell ref="H6:H7"/>
    <mergeCell ref="I6:N7"/>
    <mergeCell ref="O6:O7"/>
    <mergeCell ref="B8:B9"/>
    <mergeCell ref="C8:C9"/>
    <mergeCell ref="D8:D9"/>
    <mergeCell ref="E8:E9"/>
    <mergeCell ref="F8:F9"/>
    <mergeCell ref="G8:G9"/>
    <mergeCell ref="H8:H9"/>
    <mergeCell ref="I8:N8"/>
    <mergeCell ref="I9:N9"/>
    <mergeCell ref="B16:B17"/>
    <mergeCell ref="C16:C17"/>
    <mergeCell ref="D16:D17"/>
    <mergeCell ref="E16:E17"/>
    <mergeCell ref="F16:F17"/>
    <mergeCell ref="G16:G17"/>
    <mergeCell ref="I10:N10"/>
    <mergeCell ref="I11:N11"/>
    <mergeCell ref="B12:B13"/>
    <mergeCell ref="C12:C13"/>
    <mergeCell ref="D12:D13"/>
    <mergeCell ref="E12:E13"/>
    <mergeCell ref="F12:F13"/>
    <mergeCell ref="G12:G13"/>
    <mergeCell ref="H12:H13"/>
    <mergeCell ref="I12:N12"/>
    <mergeCell ref="B10:B11"/>
    <mergeCell ref="C10:C11"/>
    <mergeCell ref="D10:D11"/>
    <mergeCell ref="E10:E11"/>
    <mergeCell ref="F10:F11"/>
    <mergeCell ref="G10:G11"/>
    <mergeCell ref="H10:H11"/>
    <mergeCell ref="I13:N13"/>
    <mergeCell ref="B14:B15"/>
    <mergeCell ref="C14:C15"/>
    <mergeCell ref="D14:D15"/>
    <mergeCell ref="E14:E15"/>
    <mergeCell ref="F14:F15"/>
    <mergeCell ref="G14:G15"/>
    <mergeCell ref="H14:H15"/>
    <mergeCell ref="I14:N14"/>
    <mergeCell ref="I15:N15"/>
    <mergeCell ref="AN22:AQ22"/>
    <mergeCell ref="I23:N23"/>
    <mergeCell ref="AI24:AL24"/>
    <mergeCell ref="V26:W26"/>
    <mergeCell ref="H16:H17"/>
    <mergeCell ref="I16:N16"/>
    <mergeCell ref="I17:N17"/>
    <mergeCell ref="I22:N22"/>
    <mergeCell ref="AA22:AD22"/>
    <mergeCell ref="AE22:AH22"/>
    <mergeCell ref="AI23:AL23"/>
    <mergeCell ref="I28:J28"/>
    <mergeCell ref="N28:O28"/>
    <mergeCell ref="B29:B30"/>
    <mergeCell ref="C29:C30"/>
    <mergeCell ref="D29:D30"/>
    <mergeCell ref="E29:G29"/>
    <mergeCell ref="H29:H30"/>
    <mergeCell ref="I29:N30"/>
    <mergeCell ref="AI22:AM22"/>
    <mergeCell ref="B31:B32"/>
    <mergeCell ref="C31:C32"/>
    <mergeCell ref="D31:D32"/>
    <mergeCell ref="E31:E32"/>
    <mergeCell ref="F31:F32"/>
    <mergeCell ref="G31:G32"/>
    <mergeCell ref="O29:O30"/>
    <mergeCell ref="H31:H32"/>
    <mergeCell ref="I31:N31"/>
    <mergeCell ref="I32:N32"/>
    <mergeCell ref="I33:N33"/>
    <mergeCell ref="I34:N34"/>
    <mergeCell ref="B35:B36"/>
    <mergeCell ref="C35:C36"/>
    <mergeCell ref="D35:D36"/>
    <mergeCell ref="E35:E36"/>
    <mergeCell ref="F35:F36"/>
    <mergeCell ref="G35:G36"/>
    <mergeCell ref="H35:H36"/>
    <mergeCell ref="I35:N35"/>
    <mergeCell ref="H33:H34"/>
    <mergeCell ref="B33:B34"/>
    <mergeCell ref="C33:C34"/>
    <mergeCell ref="D33:D34"/>
    <mergeCell ref="E33:E34"/>
    <mergeCell ref="F33:F34"/>
    <mergeCell ref="G33:G34"/>
    <mergeCell ref="I36:N36"/>
    <mergeCell ref="B37:B38"/>
    <mergeCell ref="C37:C38"/>
    <mergeCell ref="D37:D38"/>
    <mergeCell ref="E37:E38"/>
    <mergeCell ref="F37:F38"/>
    <mergeCell ref="G37:G38"/>
    <mergeCell ref="H37:H38"/>
    <mergeCell ref="I37:N37"/>
    <mergeCell ref="I38:N38"/>
    <mergeCell ref="G39:G40"/>
    <mergeCell ref="V49:W49"/>
    <mergeCell ref="I51:J51"/>
    <mergeCell ref="N51:O51"/>
    <mergeCell ref="B52:B53"/>
    <mergeCell ref="C52:C53"/>
    <mergeCell ref="D52:D53"/>
    <mergeCell ref="E52:G52"/>
    <mergeCell ref="H52:H53"/>
    <mergeCell ref="I52:N53"/>
    <mergeCell ref="H39:H40"/>
    <mergeCell ref="I39:N39"/>
    <mergeCell ref="I40:N40"/>
    <mergeCell ref="I45:N45"/>
    <mergeCell ref="I46:N46"/>
    <mergeCell ref="B39:B40"/>
    <mergeCell ref="C39:C40"/>
    <mergeCell ref="D39:D40"/>
    <mergeCell ref="E39:E40"/>
    <mergeCell ref="F39:F40"/>
    <mergeCell ref="B54:B55"/>
    <mergeCell ref="C54:C55"/>
    <mergeCell ref="D54:D55"/>
    <mergeCell ref="E54:E55"/>
    <mergeCell ref="F54:F55"/>
    <mergeCell ref="G54:G55"/>
    <mergeCell ref="O52:O53"/>
    <mergeCell ref="H54:H55"/>
    <mergeCell ref="I54:N54"/>
    <mergeCell ref="I55:N55"/>
    <mergeCell ref="I56:N56"/>
    <mergeCell ref="I57:N57"/>
    <mergeCell ref="B58:B59"/>
    <mergeCell ref="C58:C59"/>
    <mergeCell ref="D58:D59"/>
    <mergeCell ref="E58:E59"/>
    <mergeCell ref="F58:F59"/>
    <mergeCell ref="G58:G59"/>
    <mergeCell ref="H58:H59"/>
    <mergeCell ref="I58:N58"/>
    <mergeCell ref="H56:H57"/>
    <mergeCell ref="B56:B57"/>
    <mergeCell ref="C56:C57"/>
    <mergeCell ref="D56:D57"/>
    <mergeCell ref="E56:E57"/>
    <mergeCell ref="F56:F57"/>
    <mergeCell ref="G56:G57"/>
    <mergeCell ref="I68:N68"/>
    <mergeCell ref="I69:N69"/>
    <mergeCell ref="V71:W71"/>
    <mergeCell ref="I59:N59"/>
    <mergeCell ref="B60:B61"/>
    <mergeCell ref="C60:C61"/>
    <mergeCell ref="D60:D61"/>
    <mergeCell ref="E60:E61"/>
    <mergeCell ref="F60:F61"/>
    <mergeCell ref="G60:G61"/>
    <mergeCell ref="H60:H61"/>
    <mergeCell ref="I60:N60"/>
    <mergeCell ref="I61:N61"/>
    <mergeCell ref="B62:B63"/>
    <mergeCell ref="C62:C63"/>
    <mergeCell ref="D62:D63"/>
    <mergeCell ref="E62:E63"/>
    <mergeCell ref="F62:F63"/>
    <mergeCell ref="G62:G63"/>
    <mergeCell ref="H62:H63"/>
    <mergeCell ref="I62:N62"/>
    <mergeCell ref="I63:N63"/>
    <mergeCell ref="I73:J73"/>
    <mergeCell ref="N73:O73"/>
    <mergeCell ref="B74:B75"/>
    <mergeCell ref="C74:C75"/>
    <mergeCell ref="D74:D75"/>
    <mergeCell ref="E74:G74"/>
    <mergeCell ref="H74:H75"/>
    <mergeCell ref="I74:N75"/>
    <mergeCell ref="O74:O75"/>
    <mergeCell ref="I76:N76"/>
    <mergeCell ref="I77:N77"/>
    <mergeCell ref="I78:N78"/>
    <mergeCell ref="I79:N79"/>
    <mergeCell ref="B78:B79"/>
    <mergeCell ref="C78:C79"/>
    <mergeCell ref="D78:D79"/>
    <mergeCell ref="E78:E79"/>
    <mergeCell ref="F78:F79"/>
    <mergeCell ref="G78:G79"/>
    <mergeCell ref="H78:H79"/>
    <mergeCell ref="B76:B77"/>
    <mergeCell ref="C76:C77"/>
    <mergeCell ref="D76:D77"/>
    <mergeCell ref="E76:E77"/>
    <mergeCell ref="F76:F77"/>
    <mergeCell ref="G76:G77"/>
    <mergeCell ref="H76:H77"/>
    <mergeCell ref="I80:N80"/>
    <mergeCell ref="I81:N81"/>
    <mergeCell ref="B82:B83"/>
    <mergeCell ref="C82:C83"/>
    <mergeCell ref="D82:D83"/>
    <mergeCell ref="E82:E83"/>
    <mergeCell ref="F82:F83"/>
    <mergeCell ref="G82:G83"/>
    <mergeCell ref="H82:H83"/>
    <mergeCell ref="B80:B81"/>
    <mergeCell ref="I91:N91"/>
    <mergeCell ref="B84:B85"/>
    <mergeCell ref="C84:C85"/>
    <mergeCell ref="D84:D85"/>
    <mergeCell ref="E84:E85"/>
    <mergeCell ref="F84:F85"/>
    <mergeCell ref="G84:G85"/>
    <mergeCell ref="I82:N82"/>
    <mergeCell ref="I83:N83"/>
    <mergeCell ref="H84:H85"/>
    <mergeCell ref="I84:N84"/>
    <mergeCell ref="I85:N85"/>
    <mergeCell ref="I90:N90"/>
  </mergeCells>
  <conditionalFormatting sqref="P8:AQ13 P16:AQ21 P54:AS67">
    <cfRule type="cellIs" dxfId="68" priority="17" operator="greaterThan">
      <formula>0</formula>
    </cfRule>
  </conditionalFormatting>
  <conditionalFormatting sqref="P9:AQ9 P11:AQ11 P13:AQ13 P17:AQ17 P55:AS55 P57:AS57 P59:AS59 P61:AS61 P63:AS63">
    <cfRule type="cellIs" dxfId="67" priority="16" operator="greaterThan">
      <formula>0</formula>
    </cfRule>
  </conditionalFormatting>
  <conditionalFormatting sqref="P14:AQ15">
    <cfRule type="cellIs" dxfId="66" priority="7" operator="greaterThan">
      <formula>0</formula>
    </cfRule>
  </conditionalFormatting>
  <conditionalFormatting sqref="P15:AQ15">
    <cfRule type="cellIs" dxfId="65" priority="6" operator="greaterThan">
      <formula>0</formula>
    </cfRule>
  </conditionalFormatting>
  <conditionalFormatting sqref="P31:AT44">
    <cfRule type="cellIs" dxfId="64" priority="15" operator="greaterThan">
      <formula>0</formula>
    </cfRule>
  </conditionalFormatting>
  <conditionalFormatting sqref="P32:AT32">
    <cfRule type="cellIs" dxfId="63" priority="14" operator="greaterThan">
      <formula>0</formula>
    </cfRule>
  </conditionalFormatting>
  <conditionalFormatting sqref="P34:AT34">
    <cfRule type="cellIs" dxfId="62" priority="13" operator="greaterThan">
      <formula>0</formula>
    </cfRule>
  </conditionalFormatting>
  <conditionalFormatting sqref="P36:AT36">
    <cfRule type="cellIs" dxfId="61" priority="1" operator="greaterThan">
      <formula>0</formula>
    </cfRule>
  </conditionalFormatting>
  <conditionalFormatting sqref="P38:AT38">
    <cfRule type="cellIs" dxfId="60" priority="11" operator="greaterThan">
      <formula>0</formula>
    </cfRule>
  </conditionalFormatting>
  <conditionalFormatting sqref="P40:AT40">
    <cfRule type="cellIs" dxfId="59" priority="3" operator="greaterThan">
      <formula>0</formula>
    </cfRule>
  </conditionalFormatting>
  <conditionalFormatting sqref="P76:AT89">
    <cfRule type="cellIs" dxfId="58" priority="5" operator="greaterThan">
      <formula>0</formula>
    </cfRule>
  </conditionalFormatting>
  <conditionalFormatting sqref="P77:AT77 P79:AT79 P81:AT81 P83:AT83 P85:AT85">
    <cfRule type="cellIs" dxfId="57" priority="4" operator="greaterThan">
      <formula>0</formula>
    </cfRule>
  </conditionalFormatting>
  <pageMargins left="0" right="0" top="0" bottom="0" header="0.31496062992125984" footer="0.31496062992125984"/>
  <pageSetup scale="45" orientation="landscape" horizontalDpi="360" verticalDpi="36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V89"/>
  <sheetViews>
    <sheetView topLeftCell="A24" zoomScale="80" zoomScaleNormal="80" zoomScaleSheetLayoutView="70" workbookViewId="0">
      <pane xSplit="15" topLeftCell="AA1" activePane="topRight" state="frozen"/>
      <selection pane="topRight" activeCell="AD40" sqref="AD40"/>
    </sheetView>
  </sheetViews>
  <sheetFormatPr defaultColWidth="6.08203125" defaultRowHeight="18" customHeight="1"/>
  <cols>
    <col min="1" max="1" width="0.9140625" style="245" customWidth="1"/>
    <col min="2" max="2" width="2.6640625" style="245" customWidth="1"/>
    <col min="3" max="3" width="10.25" style="245" customWidth="1"/>
    <col min="4" max="4" width="10.6640625" style="245" customWidth="1"/>
    <col min="5" max="5" width="9.1640625" style="245" customWidth="1"/>
    <col min="6" max="6" width="9.75" style="245" hidden="1" customWidth="1"/>
    <col min="7" max="7" width="3.75" style="245" customWidth="1"/>
    <col min="8" max="8" width="5.25" style="245" customWidth="1"/>
    <col min="9" max="13" width="3.5" style="245" customWidth="1"/>
    <col min="14" max="14" width="6.1640625" style="245" customWidth="1"/>
    <col min="15" max="15" width="5.9140625" style="245" customWidth="1"/>
    <col min="16" max="46" width="3.4140625" style="245" customWidth="1"/>
    <col min="47" max="47" width="2.1640625" style="245" customWidth="1"/>
    <col min="48" max="48" width="7.58203125" style="245" customWidth="1"/>
    <col min="49" max="16384" width="6.08203125" style="245"/>
  </cols>
  <sheetData>
    <row r="1" spans="2:48" ht="9.9499999999999993" customHeight="1"/>
    <row r="2" spans="2:48" ht="18" customHeight="1">
      <c r="D2" s="246" t="s">
        <v>192</v>
      </c>
    </row>
    <row r="3" spans="2:48" ht="18" customHeight="1">
      <c r="D3" s="247" t="s">
        <v>193</v>
      </c>
      <c r="V3" s="869"/>
      <c r="W3" s="869"/>
    </row>
    <row r="4" spans="2:48" ht="5.25" customHeight="1"/>
    <row r="5" spans="2:48" s="248" customFormat="1" ht="16.5" customHeight="1" thickBot="1">
      <c r="E5" s="249" t="s">
        <v>194</v>
      </c>
      <c r="F5" s="250">
        <f>I5-N5</f>
        <v>7</v>
      </c>
      <c r="G5" s="251"/>
      <c r="H5" s="249" t="s">
        <v>195</v>
      </c>
      <c r="I5" s="854">
        <v>20</v>
      </c>
      <c r="J5" s="854"/>
      <c r="K5" s="252"/>
      <c r="M5" s="249" t="s">
        <v>196</v>
      </c>
      <c r="N5" s="855">
        <f>COUNT(P7:AP7)</f>
        <v>13</v>
      </c>
      <c r="O5" s="855"/>
      <c r="P5" s="253" t="s">
        <v>119</v>
      </c>
      <c r="Q5" s="253" t="s">
        <v>120</v>
      </c>
      <c r="R5" s="253" t="s">
        <v>121</v>
      </c>
      <c r="S5" s="253" t="s">
        <v>122</v>
      </c>
      <c r="T5" s="253" t="s">
        <v>121</v>
      </c>
      <c r="U5" s="253" t="s">
        <v>123</v>
      </c>
      <c r="V5" s="253" t="s">
        <v>119</v>
      </c>
      <c r="W5" s="253" t="s">
        <v>119</v>
      </c>
      <c r="X5" s="253" t="s">
        <v>120</v>
      </c>
      <c r="Y5" s="253" t="s">
        <v>121</v>
      </c>
      <c r="Z5" s="253" t="s">
        <v>122</v>
      </c>
      <c r="AA5" s="253" t="s">
        <v>121</v>
      </c>
      <c r="AB5" s="253" t="s">
        <v>123</v>
      </c>
      <c r="AC5" s="253" t="s">
        <v>119</v>
      </c>
      <c r="AD5" s="253" t="s">
        <v>119</v>
      </c>
      <c r="AE5" s="253" t="s">
        <v>120</v>
      </c>
      <c r="AF5" s="253" t="s">
        <v>121</v>
      </c>
      <c r="AG5" s="253" t="s">
        <v>122</v>
      </c>
      <c r="AH5" s="253" t="s">
        <v>121</v>
      </c>
      <c r="AI5" s="253" t="s">
        <v>123</v>
      </c>
      <c r="AJ5" s="253" t="s">
        <v>119</v>
      </c>
      <c r="AK5" s="253" t="s">
        <v>119</v>
      </c>
      <c r="AL5" s="253" t="s">
        <v>120</v>
      </c>
      <c r="AM5" s="253" t="s">
        <v>121</v>
      </c>
      <c r="AN5" s="253" t="s">
        <v>122</v>
      </c>
      <c r="AO5" s="253" t="s">
        <v>121</v>
      </c>
      <c r="AP5" s="253" t="s">
        <v>123</v>
      </c>
      <c r="AQ5" s="253" t="s">
        <v>119</v>
      </c>
      <c r="AR5" s="245"/>
      <c r="AS5" s="245"/>
      <c r="AT5" s="245"/>
    </row>
    <row r="6" spans="2:48" s="260" customFormat="1" ht="18" customHeight="1" thickBot="1">
      <c r="B6" s="856" t="s">
        <v>115</v>
      </c>
      <c r="C6" s="858" t="s">
        <v>117</v>
      </c>
      <c r="D6" s="858" t="s">
        <v>116</v>
      </c>
      <c r="E6" s="858" t="s">
        <v>197</v>
      </c>
      <c r="F6" s="858"/>
      <c r="G6" s="858"/>
      <c r="H6" s="860" t="s">
        <v>198</v>
      </c>
      <c r="I6" s="861" t="s">
        <v>199</v>
      </c>
      <c r="J6" s="862"/>
      <c r="K6" s="862"/>
      <c r="L6" s="862"/>
      <c r="M6" s="862"/>
      <c r="N6" s="863"/>
      <c r="O6" s="867" t="s">
        <v>200</v>
      </c>
      <c r="P6" s="254">
        <v>1</v>
      </c>
      <c r="Q6" s="255">
        <v>2</v>
      </c>
      <c r="R6" s="255">
        <v>3</v>
      </c>
      <c r="S6" s="255">
        <v>4</v>
      </c>
      <c r="T6" s="255">
        <v>5</v>
      </c>
      <c r="U6" s="255">
        <v>6</v>
      </c>
      <c r="V6" s="256">
        <v>7</v>
      </c>
      <c r="W6" s="257">
        <v>8</v>
      </c>
      <c r="X6" s="255">
        <v>9</v>
      </c>
      <c r="Y6" s="255">
        <v>10</v>
      </c>
      <c r="Z6" s="255">
        <v>11</v>
      </c>
      <c r="AA6" s="255">
        <v>12</v>
      </c>
      <c r="AB6" s="255">
        <v>13</v>
      </c>
      <c r="AC6" s="256">
        <v>14</v>
      </c>
      <c r="AD6" s="257">
        <v>15</v>
      </c>
      <c r="AE6" s="258">
        <v>16</v>
      </c>
      <c r="AF6" s="257">
        <v>17</v>
      </c>
      <c r="AG6" s="255">
        <v>18</v>
      </c>
      <c r="AH6" s="255">
        <v>19</v>
      </c>
      <c r="AI6" s="255">
        <v>20</v>
      </c>
      <c r="AJ6" s="256">
        <v>21</v>
      </c>
      <c r="AK6" s="257">
        <v>22</v>
      </c>
      <c r="AL6" s="255">
        <v>23</v>
      </c>
      <c r="AM6" s="255">
        <v>24</v>
      </c>
      <c r="AN6" s="255">
        <v>25</v>
      </c>
      <c r="AO6" s="255">
        <v>26</v>
      </c>
      <c r="AP6" s="255">
        <v>27</v>
      </c>
      <c r="AQ6" s="259">
        <v>28</v>
      </c>
      <c r="AR6" s="245"/>
      <c r="AS6" s="245"/>
      <c r="AT6" s="245"/>
    </row>
    <row r="7" spans="2:48" s="260" customFormat="1" ht="17.25" customHeight="1" thickBot="1">
      <c r="B7" s="857"/>
      <c r="C7" s="859"/>
      <c r="D7" s="859"/>
      <c r="E7" s="261" t="s">
        <v>201</v>
      </c>
      <c r="F7" s="261" t="s">
        <v>202</v>
      </c>
      <c r="G7" s="261" t="s">
        <v>203</v>
      </c>
      <c r="H7" s="859"/>
      <c r="I7" s="864"/>
      <c r="J7" s="865"/>
      <c r="K7" s="865"/>
      <c r="L7" s="865"/>
      <c r="M7" s="865"/>
      <c r="N7" s="866"/>
      <c r="O7" s="868"/>
      <c r="P7" s="262"/>
      <c r="Q7" s="263"/>
      <c r="R7" s="263"/>
      <c r="S7" s="263"/>
      <c r="T7" s="263"/>
      <c r="U7" s="263"/>
      <c r="V7" s="263"/>
      <c r="W7" s="263"/>
      <c r="X7" s="263">
        <v>2</v>
      </c>
      <c r="Y7" s="263">
        <v>2</v>
      </c>
      <c r="Z7" s="263">
        <v>2</v>
      </c>
      <c r="AA7" s="263">
        <v>2</v>
      </c>
      <c r="AB7" s="263">
        <v>2</v>
      </c>
      <c r="AC7" s="263">
        <v>2</v>
      </c>
      <c r="AD7" s="263"/>
      <c r="AE7" s="263">
        <v>2</v>
      </c>
      <c r="AF7" s="263">
        <v>2</v>
      </c>
      <c r="AG7" s="263">
        <v>2</v>
      </c>
      <c r="AH7" s="263">
        <v>2</v>
      </c>
      <c r="AI7" s="263">
        <v>1</v>
      </c>
      <c r="AJ7" s="263"/>
      <c r="AK7" s="263"/>
      <c r="AL7" s="263"/>
      <c r="AM7" s="263"/>
      <c r="AN7" s="263"/>
      <c r="AO7" s="263">
        <v>2</v>
      </c>
      <c r="AP7" s="263">
        <v>2</v>
      </c>
      <c r="AQ7" s="264">
        <v>2</v>
      </c>
      <c r="AR7" s="245"/>
      <c r="AS7" s="245"/>
      <c r="AT7" s="245"/>
    </row>
    <row r="8" spans="2:48" s="260" customFormat="1" ht="30" customHeight="1">
      <c r="B8" s="853" t="s">
        <v>41</v>
      </c>
      <c r="C8" s="882" t="s">
        <v>256</v>
      </c>
      <c r="D8" s="882" t="s">
        <v>127</v>
      </c>
      <c r="E8" s="882" t="s">
        <v>204</v>
      </c>
      <c r="F8" s="882" t="s">
        <v>205</v>
      </c>
      <c r="G8" s="882">
        <v>35</v>
      </c>
      <c r="H8" s="882">
        <v>1000</v>
      </c>
      <c r="I8" s="844" t="s">
        <v>206</v>
      </c>
      <c r="J8" s="845"/>
      <c r="K8" s="845"/>
      <c r="L8" s="845"/>
      <c r="M8" s="845"/>
      <c r="N8" s="846"/>
      <c r="O8" s="265">
        <f>SUM(P8:AP8)</f>
        <v>450</v>
      </c>
      <c r="P8" s="266"/>
      <c r="Q8" s="267"/>
      <c r="R8" s="267"/>
      <c r="S8" s="267"/>
      <c r="T8" s="267"/>
      <c r="U8" s="267">
        <v>150</v>
      </c>
      <c r="V8" s="267"/>
      <c r="W8" s="267"/>
      <c r="X8" s="267">
        <v>160</v>
      </c>
      <c r="Y8" s="267">
        <v>140</v>
      </c>
      <c r="Z8" s="267"/>
      <c r="AA8" s="267"/>
      <c r="AB8" s="267"/>
      <c r="AC8" s="267"/>
      <c r="AD8" s="268"/>
      <c r="AE8" s="268"/>
      <c r="AF8" s="268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9"/>
    </row>
    <row r="9" spans="2:48" s="260" customFormat="1" ht="30" customHeight="1">
      <c r="B9" s="840"/>
      <c r="C9" s="842"/>
      <c r="D9" s="842"/>
      <c r="E9" s="842"/>
      <c r="F9" s="842"/>
      <c r="G9" s="842"/>
      <c r="H9" s="842"/>
      <c r="I9" s="847" t="s">
        <v>207</v>
      </c>
      <c r="J9" s="848"/>
      <c r="K9" s="848"/>
      <c r="L9" s="848"/>
      <c r="M9" s="848"/>
      <c r="N9" s="849"/>
      <c r="O9" s="270">
        <f>SUM(P9:AQ9)</f>
        <v>460</v>
      </c>
      <c r="P9" s="271"/>
      <c r="Q9" s="272"/>
      <c r="R9" s="272"/>
      <c r="S9" s="272"/>
      <c r="T9" s="272"/>
      <c r="U9" s="272"/>
      <c r="V9" s="272"/>
      <c r="W9" s="272"/>
      <c r="X9" s="272">
        <v>240</v>
      </c>
      <c r="Y9" s="272">
        <v>220</v>
      </c>
      <c r="Z9" s="272"/>
      <c r="AA9" s="272"/>
      <c r="AB9" s="272"/>
      <c r="AC9" s="272"/>
      <c r="AD9" s="273"/>
      <c r="AE9" s="273"/>
      <c r="AF9" s="273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4"/>
    </row>
    <row r="10" spans="2:48" s="280" customFormat="1" ht="30" customHeight="1">
      <c r="B10" s="839" t="s">
        <v>42</v>
      </c>
      <c r="C10" s="843" t="s">
        <v>257</v>
      </c>
      <c r="D10" s="843" t="s">
        <v>127</v>
      </c>
      <c r="E10" s="843" t="s">
        <v>138</v>
      </c>
      <c r="F10" s="843" t="s">
        <v>208</v>
      </c>
      <c r="G10" s="843">
        <v>50</v>
      </c>
      <c r="H10" s="843">
        <v>1000</v>
      </c>
      <c r="I10" s="844" t="s">
        <v>206</v>
      </c>
      <c r="J10" s="845"/>
      <c r="K10" s="845"/>
      <c r="L10" s="845"/>
      <c r="M10" s="845"/>
      <c r="N10" s="846"/>
      <c r="O10" s="275">
        <f>SUM(P10:AP10)</f>
        <v>1000</v>
      </c>
      <c r="P10" s="276"/>
      <c r="Q10" s="277"/>
      <c r="R10" s="277"/>
      <c r="S10" s="277"/>
      <c r="T10" s="277"/>
      <c r="U10" s="277"/>
      <c r="V10" s="277"/>
      <c r="W10" s="277"/>
      <c r="X10" s="277"/>
      <c r="Y10" s="277">
        <v>80</v>
      </c>
      <c r="Z10" s="277">
        <v>240</v>
      </c>
      <c r="AA10" s="277">
        <v>240</v>
      </c>
      <c r="AB10" s="277">
        <v>240</v>
      </c>
      <c r="AC10" s="277">
        <v>200</v>
      </c>
      <c r="AD10" s="278"/>
      <c r="AE10" s="278"/>
      <c r="AF10" s="278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9"/>
    </row>
    <row r="11" spans="2:48" s="280" customFormat="1" ht="30" customHeight="1">
      <c r="B11" s="840"/>
      <c r="C11" s="842"/>
      <c r="D11" s="842"/>
      <c r="E11" s="842"/>
      <c r="F11" s="842"/>
      <c r="G11" s="842"/>
      <c r="H11" s="842"/>
      <c r="I11" s="847" t="s">
        <v>207</v>
      </c>
      <c r="J11" s="848"/>
      <c r="K11" s="848"/>
      <c r="L11" s="848"/>
      <c r="M11" s="848"/>
      <c r="N11" s="849"/>
      <c r="O11" s="270">
        <f>SUM(P11:AQ11)</f>
        <v>960</v>
      </c>
      <c r="P11" s="271"/>
      <c r="Q11" s="272"/>
      <c r="R11" s="272"/>
      <c r="S11" s="272"/>
      <c r="T11" s="272"/>
      <c r="U11" s="272"/>
      <c r="V11" s="272"/>
      <c r="W11" s="272"/>
      <c r="X11" s="272"/>
      <c r="Y11" s="272">
        <v>60</v>
      </c>
      <c r="Z11" s="272">
        <v>240</v>
      </c>
      <c r="AA11" s="272">
        <v>240</v>
      </c>
      <c r="AB11" s="272">
        <v>240</v>
      </c>
      <c r="AC11" s="272">
        <v>180</v>
      </c>
      <c r="AD11" s="273"/>
      <c r="AE11" s="273"/>
      <c r="AF11" s="273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4"/>
    </row>
    <row r="12" spans="2:48" s="280" customFormat="1" ht="30" customHeight="1">
      <c r="B12" s="839" t="s">
        <v>44</v>
      </c>
      <c r="C12" s="843" t="s">
        <v>258</v>
      </c>
      <c r="D12" s="843" t="s">
        <v>127</v>
      </c>
      <c r="E12" s="843" t="s">
        <v>204</v>
      </c>
      <c r="F12" s="843" t="s">
        <v>205</v>
      </c>
      <c r="G12" s="843">
        <v>35</v>
      </c>
      <c r="H12" s="843">
        <v>500</v>
      </c>
      <c r="I12" s="844" t="s">
        <v>206</v>
      </c>
      <c r="J12" s="845"/>
      <c r="K12" s="845"/>
      <c r="L12" s="845"/>
      <c r="M12" s="845"/>
      <c r="N12" s="846"/>
      <c r="O12" s="275">
        <f>SUM(P12:AQ12)</f>
        <v>500</v>
      </c>
      <c r="P12" s="276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8"/>
      <c r="AE12" s="278"/>
      <c r="AF12" s="278"/>
      <c r="AG12" s="277">
        <v>180</v>
      </c>
      <c r="AH12" s="277">
        <v>240</v>
      </c>
      <c r="AI12" s="277">
        <v>80</v>
      </c>
      <c r="AJ12" s="277"/>
      <c r="AK12" s="277"/>
      <c r="AL12" s="277"/>
      <c r="AM12" s="277"/>
      <c r="AN12" s="277"/>
      <c r="AO12" s="277"/>
      <c r="AP12" s="277"/>
      <c r="AQ12" s="279"/>
    </row>
    <row r="13" spans="2:48" s="280" customFormat="1" ht="30" customHeight="1" thickBot="1">
      <c r="B13" s="840"/>
      <c r="C13" s="842"/>
      <c r="D13" s="842"/>
      <c r="E13" s="842"/>
      <c r="F13" s="842"/>
      <c r="G13" s="842"/>
      <c r="H13" s="842"/>
      <c r="I13" s="847" t="s">
        <v>207</v>
      </c>
      <c r="J13" s="848"/>
      <c r="K13" s="848"/>
      <c r="L13" s="848"/>
      <c r="M13" s="848"/>
      <c r="N13" s="849"/>
      <c r="O13" s="270">
        <f>SUM(P13:AQ13)</f>
        <v>320</v>
      </c>
      <c r="P13" s="271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3"/>
      <c r="AE13" s="273"/>
      <c r="AF13" s="273"/>
      <c r="AG13" s="272">
        <v>60</v>
      </c>
      <c r="AH13" s="272">
        <v>140</v>
      </c>
      <c r="AI13" s="272">
        <v>120</v>
      </c>
      <c r="AJ13" s="272"/>
      <c r="AK13" s="272"/>
      <c r="AL13" s="272"/>
      <c r="AM13" s="272"/>
      <c r="AN13" s="272"/>
      <c r="AO13" s="272"/>
      <c r="AP13" s="272"/>
      <c r="AQ13" s="274"/>
    </row>
    <row r="14" spans="2:48" s="260" customFormat="1" ht="30" customHeight="1">
      <c r="B14" s="853" t="s">
        <v>255</v>
      </c>
      <c r="C14" s="843" t="s">
        <v>259</v>
      </c>
      <c r="D14" s="843" t="s">
        <v>127</v>
      </c>
      <c r="E14" s="843" t="s">
        <v>204</v>
      </c>
      <c r="F14" s="843" t="s">
        <v>205</v>
      </c>
      <c r="G14" s="843">
        <v>35</v>
      </c>
      <c r="H14" s="843">
        <v>1500</v>
      </c>
      <c r="I14" s="844" t="s">
        <v>206</v>
      </c>
      <c r="J14" s="845"/>
      <c r="K14" s="845"/>
      <c r="L14" s="845"/>
      <c r="M14" s="845"/>
      <c r="N14" s="846"/>
      <c r="O14" s="275">
        <f>SUM(P14:AQ14)</f>
        <v>0</v>
      </c>
      <c r="P14" s="281"/>
      <c r="Q14" s="277"/>
      <c r="R14" s="277"/>
      <c r="S14" s="277"/>
      <c r="T14" s="277"/>
      <c r="U14" s="277"/>
      <c r="V14" s="282"/>
      <c r="W14" s="282"/>
      <c r="X14" s="282"/>
      <c r="Y14" s="282"/>
      <c r="Z14" s="282"/>
      <c r="AA14" s="282"/>
      <c r="AB14" s="282"/>
      <c r="AC14" s="282"/>
      <c r="AD14" s="283"/>
      <c r="AE14" s="283"/>
      <c r="AF14" s="283"/>
      <c r="AG14" s="282"/>
      <c r="AH14" s="282"/>
      <c r="AI14" s="282"/>
      <c r="AJ14" s="282"/>
      <c r="AK14" s="282"/>
      <c r="AL14" s="277"/>
      <c r="AM14" s="277"/>
      <c r="AN14" s="277"/>
      <c r="AO14" s="277"/>
      <c r="AP14" s="277"/>
      <c r="AQ14" s="279"/>
      <c r="AR14" s="280"/>
      <c r="AS14" s="280"/>
      <c r="AT14" s="280"/>
      <c r="AU14" s="280"/>
      <c r="AV14" s="280"/>
    </row>
    <row r="15" spans="2:48" s="260" customFormat="1" ht="30" customHeight="1" thickBot="1">
      <c r="B15" s="840"/>
      <c r="C15" s="842"/>
      <c r="D15" s="842"/>
      <c r="E15" s="842"/>
      <c r="F15" s="842"/>
      <c r="G15" s="842"/>
      <c r="H15" s="842"/>
      <c r="I15" s="847" t="s">
        <v>207</v>
      </c>
      <c r="J15" s="848"/>
      <c r="K15" s="848"/>
      <c r="L15" s="848"/>
      <c r="M15" s="848"/>
      <c r="N15" s="849"/>
      <c r="O15" s="270">
        <f>SUM(P15:AQ15)</f>
        <v>0</v>
      </c>
      <c r="P15" s="271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3"/>
      <c r="AE15" s="273"/>
      <c r="AF15" s="273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4"/>
      <c r="AR15" s="280"/>
      <c r="AS15" s="280"/>
      <c r="AT15" s="280"/>
      <c r="AU15" s="280"/>
      <c r="AV15" s="280"/>
    </row>
    <row r="16" spans="2:48" s="280" customFormat="1" ht="18" hidden="1" customHeight="1">
      <c r="B16" s="839" t="s">
        <v>45</v>
      </c>
      <c r="C16" s="843" t="s">
        <v>209</v>
      </c>
      <c r="D16" s="843" t="s">
        <v>127</v>
      </c>
      <c r="E16" s="843" t="s">
        <v>138</v>
      </c>
      <c r="F16" s="843" t="s">
        <v>205</v>
      </c>
      <c r="G16" s="843">
        <v>50</v>
      </c>
      <c r="H16" s="843">
        <v>1000</v>
      </c>
      <c r="I16" s="875" t="s">
        <v>206</v>
      </c>
      <c r="J16" s="876"/>
      <c r="K16" s="876"/>
      <c r="L16" s="876"/>
      <c r="M16" s="876"/>
      <c r="N16" s="877"/>
      <c r="O16" s="284">
        <f>SUM(P16:AP16)</f>
        <v>0</v>
      </c>
      <c r="P16" s="276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9"/>
    </row>
    <row r="17" spans="2:47" s="280" customFormat="1" ht="18" hidden="1" customHeight="1" thickBot="1">
      <c r="B17" s="840"/>
      <c r="C17" s="842"/>
      <c r="D17" s="842"/>
      <c r="E17" s="842"/>
      <c r="F17" s="842"/>
      <c r="G17" s="842"/>
      <c r="H17" s="842"/>
      <c r="I17" s="878" t="s">
        <v>207</v>
      </c>
      <c r="J17" s="879"/>
      <c r="K17" s="879"/>
      <c r="L17" s="879"/>
      <c r="M17" s="879"/>
      <c r="N17" s="880"/>
      <c r="O17" s="270">
        <f>SUM(P17:AQ17)</f>
        <v>0</v>
      </c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7"/>
    </row>
    <row r="18" spans="2:47" s="260" customFormat="1" ht="18.75" hidden="1" customHeight="1">
      <c r="B18" s="288"/>
      <c r="C18" s="289"/>
      <c r="D18" s="289"/>
      <c r="E18" s="289"/>
      <c r="F18" s="289"/>
      <c r="G18" s="289"/>
      <c r="H18" s="289"/>
      <c r="I18" s="290"/>
      <c r="J18" s="290"/>
      <c r="K18" s="291"/>
      <c r="L18" s="291"/>
      <c r="M18" s="292"/>
      <c r="N18" s="293"/>
      <c r="O18" s="294"/>
      <c r="P18" s="281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95"/>
      <c r="AR18" s="296"/>
    </row>
    <row r="19" spans="2:47" s="260" customFormat="1" ht="18.75" hidden="1" customHeight="1">
      <c r="B19" s="288"/>
      <c r="C19" s="289"/>
      <c r="D19" s="289"/>
      <c r="E19" s="289"/>
      <c r="F19" s="289"/>
      <c r="G19" s="289"/>
      <c r="H19" s="289"/>
      <c r="I19" s="290"/>
      <c r="J19" s="290"/>
      <c r="K19" s="291"/>
      <c r="L19" s="291"/>
      <c r="M19" s="292"/>
      <c r="N19" s="293"/>
      <c r="O19" s="294"/>
      <c r="P19" s="297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9"/>
      <c r="AR19" s="296"/>
    </row>
    <row r="20" spans="2:47" s="260" customFormat="1" ht="18.75" hidden="1" customHeight="1">
      <c r="B20" s="288"/>
      <c r="C20" s="289"/>
      <c r="D20" s="289"/>
      <c r="E20" s="289"/>
      <c r="F20" s="289"/>
      <c r="G20" s="289"/>
      <c r="H20" s="289"/>
      <c r="I20" s="290"/>
      <c r="J20" s="290"/>
      <c r="K20" s="291"/>
      <c r="L20" s="291"/>
      <c r="M20" s="292"/>
      <c r="N20" s="293"/>
      <c r="O20" s="294"/>
      <c r="P20" s="297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9"/>
      <c r="AR20" s="296"/>
    </row>
    <row r="21" spans="2:47" s="260" customFormat="1" ht="18.75" hidden="1" customHeight="1" thickBot="1">
      <c r="B21" s="288"/>
      <c r="C21" s="289"/>
      <c r="D21" s="289"/>
      <c r="E21" s="289"/>
      <c r="F21" s="289"/>
      <c r="G21" s="289"/>
      <c r="H21" s="289"/>
      <c r="I21" s="290"/>
      <c r="J21" s="290"/>
      <c r="K21" s="291"/>
      <c r="L21" s="291"/>
      <c r="M21" s="292"/>
      <c r="N21" s="293"/>
      <c r="O21" s="294"/>
      <c r="P21" s="285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7"/>
      <c r="AR21" s="296"/>
    </row>
    <row r="22" spans="2:47" s="305" customFormat="1" ht="30" customHeight="1">
      <c r="B22" s="300"/>
      <c r="C22" s="301"/>
      <c r="D22" s="301"/>
      <c r="E22" s="302"/>
      <c r="F22" s="302"/>
      <c r="G22" s="302"/>
      <c r="H22" s="303"/>
      <c r="I22" s="850" t="s">
        <v>206</v>
      </c>
      <c r="J22" s="851"/>
      <c r="K22" s="851"/>
      <c r="L22" s="851"/>
      <c r="M22" s="851"/>
      <c r="N22" s="852"/>
      <c r="O22" s="304">
        <f>SUM(O8,O10,O12,O14)</f>
        <v>1950</v>
      </c>
      <c r="P22" s="473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870" t="s">
        <v>210</v>
      </c>
      <c r="AB22" s="870"/>
      <c r="AC22" s="870"/>
      <c r="AD22" s="870"/>
      <c r="AE22" s="870" t="s">
        <v>211</v>
      </c>
      <c r="AF22" s="870"/>
      <c r="AG22" s="870"/>
      <c r="AH22" s="870"/>
      <c r="AI22" s="870" t="s">
        <v>212</v>
      </c>
      <c r="AJ22" s="870"/>
      <c r="AK22" s="870"/>
      <c r="AL22" s="870"/>
      <c r="AM22" s="870"/>
      <c r="AN22" s="870" t="s">
        <v>217</v>
      </c>
      <c r="AO22" s="870"/>
      <c r="AP22" s="870"/>
      <c r="AQ22" s="871"/>
    </row>
    <row r="23" spans="2:47" s="305" customFormat="1" ht="30" customHeight="1" thickBot="1">
      <c r="B23" s="306"/>
      <c r="C23" s="307"/>
      <c r="D23" s="307"/>
      <c r="E23" s="308"/>
      <c r="F23" s="308"/>
      <c r="G23" s="308"/>
      <c r="H23" s="309"/>
      <c r="I23" s="836" t="s">
        <v>207</v>
      </c>
      <c r="J23" s="837"/>
      <c r="K23" s="837"/>
      <c r="L23" s="837"/>
      <c r="M23" s="837"/>
      <c r="N23" s="838"/>
      <c r="O23" s="310">
        <f>SUM(O9,O11,O13,O15)</f>
        <v>1740</v>
      </c>
      <c r="P23" s="306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11"/>
      <c r="AB23" s="311" t="s">
        <v>213</v>
      </c>
      <c r="AC23" s="311"/>
      <c r="AD23" s="311"/>
      <c r="AE23" s="311"/>
      <c r="AF23" s="311" t="s">
        <v>214</v>
      </c>
      <c r="AG23" s="311"/>
      <c r="AH23" s="311"/>
      <c r="AI23" s="881" t="s">
        <v>228</v>
      </c>
      <c r="AJ23" s="881"/>
      <c r="AK23" s="881"/>
      <c r="AL23" s="881"/>
      <c r="AM23" s="311"/>
      <c r="AN23" s="493"/>
      <c r="AO23" s="493" t="s">
        <v>230</v>
      </c>
      <c r="AP23" s="493"/>
      <c r="AQ23" s="492" t="s">
        <v>231</v>
      </c>
    </row>
    <row r="24" spans="2:47" ht="16.5" customHeight="1">
      <c r="AI24" s="872" t="s">
        <v>211</v>
      </c>
      <c r="AJ24" s="873"/>
      <c r="AK24" s="873"/>
      <c r="AL24" s="874"/>
      <c r="AN24" s="305"/>
      <c r="AO24" s="305"/>
      <c r="AP24" s="305"/>
      <c r="AQ24" s="305"/>
    </row>
    <row r="25" spans="2:47" ht="18" customHeight="1" thickBot="1">
      <c r="D25" s="246" t="s">
        <v>216</v>
      </c>
      <c r="AI25" s="471"/>
      <c r="AJ25" s="311" t="s">
        <v>229</v>
      </c>
      <c r="AK25" s="311"/>
      <c r="AL25" s="472" t="s">
        <v>215</v>
      </c>
      <c r="AN25" s="305"/>
      <c r="AO25" s="305"/>
      <c r="AP25" s="305"/>
      <c r="AQ25" s="305"/>
    </row>
    <row r="26" spans="2:47" ht="18" customHeight="1">
      <c r="D26" s="247" t="s">
        <v>193</v>
      </c>
      <c r="V26" s="869"/>
      <c r="W26" s="869"/>
      <c r="AR26" s="305"/>
      <c r="AS26" s="305"/>
      <c r="AT26" s="305"/>
      <c r="AU26" s="305"/>
    </row>
    <row r="27" spans="2:47" ht="5.25" customHeight="1"/>
    <row r="28" spans="2:47" s="248" customFormat="1" ht="16.5" customHeight="1" thickBot="1">
      <c r="E28" s="249" t="s">
        <v>194</v>
      </c>
      <c r="F28" s="250">
        <f>I28-N28</f>
        <v>0</v>
      </c>
      <c r="G28" s="251"/>
      <c r="H28" s="249" t="s">
        <v>195</v>
      </c>
      <c r="I28" s="854">
        <v>19</v>
      </c>
      <c r="J28" s="854"/>
      <c r="K28" s="252"/>
      <c r="M28" s="249" t="s">
        <v>196</v>
      </c>
      <c r="N28" s="855">
        <f>COUNT(P30:AT30)</f>
        <v>19</v>
      </c>
      <c r="O28" s="855"/>
      <c r="P28" s="253" t="s">
        <v>119</v>
      </c>
      <c r="Q28" s="253" t="s">
        <v>120</v>
      </c>
      <c r="R28" s="253" t="s">
        <v>121</v>
      </c>
      <c r="S28" s="253" t="s">
        <v>122</v>
      </c>
      <c r="T28" s="253" t="s">
        <v>121</v>
      </c>
      <c r="U28" s="253" t="s">
        <v>123</v>
      </c>
      <c r="V28" s="253" t="s">
        <v>119</v>
      </c>
      <c r="W28" s="253" t="s">
        <v>119</v>
      </c>
      <c r="X28" s="253" t="s">
        <v>120</v>
      </c>
      <c r="Y28" s="253" t="s">
        <v>121</v>
      </c>
      <c r="Z28" s="253" t="s">
        <v>122</v>
      </c>
      <c r="AA28" s="253" t="s">
        <v>121</v>
      </c>
      <c r="AB28" s="253" t="s">
        <v>123</v>
      </c>
      <c r="AC28" s="253" t="s">
        <v>119</v>
      </c>
      <c r="AD28" s="253" t="s">
        <v>119</v>
      </c>
      <c r="AE28" s="253" t="s">
        <v>120</v>
      </c>
      <c r="AF28" s="253" t="s">
        <v>121</v>
      </c>
      <c r="AG28" s="253" t="s">
        <v>122</v>
      </c>
      <c r="AH28" s="253" t="s">
        <v>121</v>
      </c>
      <c r="AI28" s="253" t="s">
        <v>123</v>
      </c>
      <c r="AJ28" s="253" t="s">
        <v>119</v>
      </c>
      <c r="AK28" s="253" t="s">
        <v>119</v>
      </c>
      <c r="AL28" s="253" t="s">
        <v>120</v>
      </c>
      <c r="AM28" s="253" t="s">
        <v>121</v>
      </c>
      <c r="AN28" s="253" t="s">
        <v>122</v>
      </c>
      <c r="AO28" s="253" t="s">
        <v>121</v>
      </c>
      <c r="AP28" s="253" t="s">
        <v>123</v>
      </c>
      <c r="AQ28" s="253" t="s">
        <v>119</v>
      </c>
      <c r="AR28" s="253" t="s">
        <v>119</v>
      </c>
      <c r="AS28" s="253" t="s">
        <v>120</v>
      </c>
      <c r="AT28" s="253" t="s">
        <v>121</v>
      </c>
    </row>
    <row r="29" spans="2:47" s="260" customFormat="1" ht="18" customHeight="1" thickBot="1">
      <c r="B29" s="856" t="s">
        <v>115</v>
      </c>
      <c r="C29" s="858" t="s">
        <v>117</v>
      </c>
      <c r="D29" s="858" t="s">
        <v>116</v>
      </c>
      <c r="E29" s="858" t="s">
        <v>197</v>
      </c>
      <c r="F29" s="858"/>
      <c r="G29" s="858"/>
      <c r="H29" s="860" t="s">
        <v>198</v>
      </c>
      <c r="I29" s="861" t="s">
        <v>199</v>
      </c>
      <c r="J29" s="862"/>
      <c r="K29" s="862"/>
      <c r="L29" s="862"/>
      <c r="M29" s="862"/>
      <c r="N29" s="863"/>
      <c r="O29" s="867" t="s">
        <v>200</v>
      </c>
      <c r="P29" s="254">
        <v>1</v>
      </c>
      <c r="Q29" s="255">
        <v>2</v>
      </c>
      <c r="R29" s="255">
        <v>3</v>
      </c>
      <c r="S29" s="255">
        <v>4</v>
      </c>
      <c r="T29" s="255">
        <v>5</v>
      </c>
      <c r="U29" s="255">
        <v>6</v>
      </c>
      <c r="V29" s="256">
        <v>7</v>
      </c>
      <c r="W29" s="257">
        <v>8</v>
      </c>
      <c r="X29" s="255">
        <v>9</v>
      </c>
      <c r="Y29" s="255">
        <v>10</v>
      </c>
      <c r="Z29" s="255">
        <v>11</v>
      </c>
      <c r="AA29" s="255">
        <v>12</v>
      </c>
      <c r="AB29" s="255">
        <v>13</v>
      </c>
      <c r="AC29" s="256">
        <v>14</v>
      </c>
      <c r="AD29" s="257">
        <v>15</v>
      </c>
      <c r="AE29" s="255">
        <v>16</v>
      </c>
      <c r="AF29" s="673">
        <v>17</v>
      </c>
      <c r="AG29" s="255">
        <v>18</v>
      </c>
      <c r="AH29" s="255">
        <v>19</v>
      </c>
      <c r="AI29" s="258">
        <v>20</v>
      </c>
      <c r="AJ29" s="256">
        <v>21</v>
      </c>
      <c r="AK29" s="257">
        <v>22</v>
      </c>
      <c r="AL29" s="258">
        <v>23</v>
      </c>
      <c r="AM29" s="258">
        <v>24</v>
      </c>
      <c r="AN29" s="255">
        <v>25</v>
      </c>
      <c r="AO29" s="255">
        <v>26</v>
      </c>
      <c r="AP29" s="255">
        <v>27</v>
      </c>
      <c r="AQ29" s="256">
        <v>28</v>
      </c>
      <c r="AR29" s="257">
        <v>29</v>
      </c>
      <c r="AS29" s="255">
        <v>30</v>
      </c>
      <c r="AT29" s="312">
        <v>31</v>
      </c>
      <c r="AU29" s="296"/>
    </row>
    <row r="30" spans="2:47" s="260" customFormat="1" ht="17.25" customHeight="1" thickBot="1">
      <c r="B30" s="857"/>
      <c r="C30" s="859"/>
      <c r="D30" s="859"/>
      <c r="E30" s="261" t="s">
        <v>201</v>
      </c>
      <c r="F30" s="261" t="s">
        <v>202</v>
      </c>
      <c r="G30" s="261" t="s">
        <v>203</v>
      </c>
      <c r="H30" s="859"/>
      <c r="I30" s="864"/>
      <c r="J30" s="865"/>
      <c r="K30" s="865"/>
      <c r="L30" s="865"/>
      <c r="M30" s="865"/>
      <c r="N30" s="866"/>
      <c r="O30" s="868"/>
      <c r="P30" s="262"/>
      <c r="Q30" s="263"/>
      <c r="R30" s="263"/>
      <c r="S30" s="263"/>
      <c r="T30" s="263">
        <v>1</v>
      </c>
      <c r="U30" s="263">
        <v>2</v>
      </c>
      <c r="V30" s="263">
        <v>2</v>
      </c>
      <c r="W30" s="263">
        <v>2</v>
      </c>
      <c r="X30" s="263">
        <v>2</v>
      </c>
      <c r="Y30" s="263">
        <v>2</v>
      </c>
      <c r="Z30" s="263">
        <v>2</v>
      </c>
      <c r="AA30" s="263">
        <v>2</v>
      </c>
      <c r="AB30" s="263">
        <v>2</v>
      </c>
      <c r="AC30" s="263">
        <v>2</v>
      </c>
      <c r="AD30" s="263">
        <v>2</v>
      </c>
      <c r="AE30" s="263">
        <v>2</v>
      </c>
      <c r="AF30" s="263">
        <v>2</v>
      </c>
      <c r="AG30" s="263"/>
      <c r="AH30" s="263"/>
      <c r="AI30" s="263"/>
      <c r="AJ30" s="263"/>
      <c r="AK30" s="263"/>
      <c r="AL30" s="263"/>
      <c r="AM30" s="263"/>
      <c r="AN30" s="263">
        <v>2</v>
      </c>
      <c r="AO30" s="263">
        <v>2</v>
      </c>
      <c r="AP30" s="263">
        <v>2</v>
      </c>
      <c r="AQ30" s="263">
        <v>2</v>
      </c>
      <c r="AR30" s="263"/>
      <c r="AS30" s="263">
        <v>2</v>
      </c>
      <c r="AT30" s="263">
        <v>2</v>
      </c>
      <c r="AU30" s="296"/>
    </row>
    <row r="31" spans="2:47" s="260" customFormat="1" ht="30" customHeight="1">
      <c r="B31" s="853" t="s">
        <v>41</v>
      </c>
      <c r="C31" s="843" t="s">
        <v>257</v>
      </c>
      <c r="D31" s="843" t="s">
        <v>127</v>
      </c>
      <c r="E31" s="843" t="s">
        <v>138</v>
      </c>
      <c r="F31" s="843" t="s">
        <v>208</v>
      </c>
      <c r="G31" s="843">
        <v>50</v>
      </c>
      <c r="H31" s="843">
        <v>1000</v>
      </c>
      <c r="I31" s="844" t="s">
        <v>206</v>
      </c>
      <c r="J31" s="845"/>
      <c r="K31" s="845"/>
      <c r="L31" s="845"/>
      <c r="M31" s="845"/>
      <c r="N31" s="846"/>
      <c r="O31" s="275">
        <f>SUM(P31:AP31)</f>
        <v>0</v>
      </c>
      <c r="P31" s="266"/>
      <c r="Q31" s="282"/>
      <c r="R31" s="282"/>
      <c r="S31" s="282"/>
      <c r="T31" s="282"/>
      <c r="U31" s="282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8"/>
      <c r="AH31" s="268"/>
      <c r="AI31" s="268"/>
      <c r="AJ31" s="268"/>
      <c r="AK31" s="268"/>
      <c r="AL31" s="268"/>
      <c r="AM31" s="268"/>
      <c r="AN31" s="267"/>
      <c r="AO31" s="267"/>
      <c r="AP31" s="267"/>
      <c r="AQ31" s="267"/>
      <c r="AR31" s="267"/>
      <c r="AS31" s="267"/>
      <c r="AT31" s="269"/>
      <c r="AU31" s="296"/>
    </row>
    <row r="32" spans="2:47" s="260" customFormat="1" ht="30" customHeight="1">
      <c r="B32" s="840"/>
      <c r="C32" s="842"/>
      <c r="D32" s="842"/>
      <c r="E32" s="842"/>
      <c r="F32" s="842"/>
      <c r="G32" s="842"/>
      <c r="H32" s="842"/>
      <c r="I32" s="847" t="s">
        <v>207</v>
      </c>
      <c r="J32" s="848"/>
      <c r="K32" s="848"/>
      <c r="L32" s="848"/>
      <c r="M32" s="848"/>
      <c r="N32" s="849"/>
      <c r="O32" s="270">
        <f>SUM(P32:AQ32)</f>
        <v>40</v>
      </c>
      <c r="P32" s="271"/>
      <c r="Q32" s="272"/>
      <c r="R32" s="272"/>
      <c r="S32" s="272"/>
      <c r="T32" s="886">
        <v>40</v>
      </c>
      <c r="U32" s="887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3"/>
      <c r="AH32" s="273"/>
      <c r="AI32" s="273"/>
      <c r="AJ32" s="273"/>
      <c r="AK32" s="273"/>
      <c r="AL32" s="273"/>
      <c r="AM32" s="273"/>
      <c r="AN32" s="272"/>
      <c r="AO32" s="272"/>
      <c r="AP32" s="272"/>
      <c r="AQ32" s="272"/>
      <c r="AR32" s="272"/>
      <c r="AS32" s="272"/>
      <c r="AT32" s="274"/>
      <c r="AU32" s="296"/>
    </row>
    <row r="33" spans="2:47" s="280" customFormat="1" ht="30" customHeight="1">
      <c r="B33" s="839" t="s">
        <v>42</v>
      </c>
      <c r="C33" s="843" t="s">
        <v>258</v>
      </c>
      <c r="D33" s="843" t="s">
        <v>127</v>
      </c>
      <c r="E33" s="843" t="s">
        <v>204</v>
      </c>
      <c r="F33" s="843" t="s">
        <v>205</v>
      </c>
      <c r="G33" s="843">
        <v>35</v>
      </c>
      <c r="H33" s="843">
        <v>500</v>
      </c>
      <c r="I33" s="844" t="s">
        <v>206</v>
      </c>
      <c r="J33" s="845"/>
      <c r="K33" s="845"/>
      <c r="L33" s="845"/>
      <c r="M33" s="845"/>
      <c r="N33" s="846"/>
      <c r="O33" s="275">
        <f t="shared" ref="O33:O40" si="0">SUM(P33:AT33)</f>
        <v>0</v>
      </c>
      <c r="P33" s="281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3"/>
      <c r="AI33" s="283"/>
      <c r="AJ33" s="283"/>
      <c r="AK33" s="283"/>
      <c r="AL33" s="283"/>
      <c r="AM33" s="283"/>
      <c r="AN33" s="282"/>
      <c r="AO33" s="282"/>
      <c r="AP33" s="282"/>
      <c r="AQ33" s="282"/>
      <c r="AR33" s="282"/>
      <c r="AS33" s="282"/>
      <c r="AT33" s="295"/>
      <c r="AU33" s="313"/>
    </row>
    <row r="34" spans="2:47" s="280" customFormat="1" ht="30" customHeight="1">
      <c r="B34" s="840"/>
      <c r="C34" s="842"/>
      <c r="D34" s="842"/>
      <c r="E34" s="842"/>
      <c r="F34" s="842"/>
      <c r="G34" s="842"/>
      <c r="H34" s="842"/>
      <c r="I34" s="847" t="s">
        <v>207</v>
      </c>
      <c r="J34" s="848"/>
      <c r="K34" s="848"/>
      <c r="L34" s="848"/>
      <c r="M34" s="848"/>
      <c r="N34" s="849"/>
      <c r="O34" s="270">
        <f t="shared" si="0"/>
        <v>180</v>
      </c>
      <c r="P34" s="271"/>
      <c r="Q34" s="272"/>
      <c r="R34" s="272"/>
      <c r="S34" s="272"/>
      <c r="T34" s="886">
        <v>180</v>
      </c>
      <c r="U34" s="887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3"/>
      <c r="AH34" s="273"/>
      <c r="AI34" s="273"/>
      <c r="AJ34" s="273"/>
      <c r="AK34" s="273"/>
      <c r="AL34" s="273"/>
      <c r="AM34" s="273"/>
      <c r="AN34" s="272"/>
      <c r="AO34" s="272"/>
      <c r="AP34" s="272"/>
      <c r="AQ34" s="272"/>
      <c r="AR34" s="272"/>
      <c r="AS34" s="272"/>
      <c r="AT34" s="274"/>
      <c r="AU34" s="313"/>
    </row>
    <row r="35" spans="2:47" s="280" customFormat="1" ht="30" customHeight="1">
      <c r="B35" s="839" t="s">
        <v>43</v>
      </c>
      <c r="C35" s="843" t="s">
        <v>259</v>
      </c>
      <c r="D35" s="843" t="s">
        <v>127</v>
      </c>
      <c r="E35" s="843" t="s">
        <v>204</v>
      </c>
      <c r="F35" s="843" t="s">
        <v>205</v>
      </c>
      <c r="G35" s="843">
        <v>35</v>
      </c>
      <c r="H35" s="843">
        <v>1500</v>
      </c>
      <c r="I35" s="844" t="s">
        <v>206</v>
      </c>
      <c r="J35" s="845"/>
      <c r="K35" s="845"/>
      <c r="L35" s="845"/>
      <c r="M35" s="845"/>
      <c r="N35" s="846"/>
      <c r="O35" s="275">
        <f>SUM(P35:AT35)</f>
        <v>1500</v>
      </c>
      <c r="P35" s="281"/>
      <c r="Q35" s="282"/>
      <c r="R35" s="282"/>
      <c r="S35" s="282"/>
      <c r="T35" s="282"/>
      <c r="U35" s="282">
        <v>160</v>
      </c>
      <c r="V35" s="282">
        <v>220</v>
      </c>
      <c r="W35" s="282">
        <v>280</v>
      </c>
      <c r="X35" s="282">
        <v>280</v>
      </c>
      <c r="Y35" s="282">
        <v>80</v>
      </c>
      <c r="Z35" s="282">
        <v>280</v>
      </c>
      <c r="AA35" s="282">
        <v>200</v>
      </c>
      <c r="AB35" s="282"/>
      <c r="AC35" s="282"/>
      <c r="AD35" s="282"/>
      <c r="AE35" s="282"/>
      <c r="AF35" s="282"/>
      <c r="AG35" s="283"/>
      <c r="AH35" s="283"/>
      <c r="AI35" s="283"/>
      <c r="AJ35" s="283"/>
      <c r="AK35" s="283"/>
      <c r="AL35" s="283"/>
      <c r="AM35" s="283"/>
      <c r="AN35" s="282"/>
      <c r="AO35" s="282"/>
      <c r="AP35" s="282"/>
      <c r="AQ35" s="282"/>
      <c r="AR35" s="282"/>
      <c r="AS35" s="282"/>
      <c r="AT35" s="295"/>
      <c r="AU35" s="313"/>
    </row>
    <row r="36" spans="2:47" s="280" customFormat="1" ht="30" customHeight="1">
      <c r="B36" s="840"/>
      <c r="C36" s="842"/>
      <c r="D36" s="842"/>
      <c r="E36" s="842"/>
      <c r="F36" s="842"/>
      <c r="G36" s="842"/>
      <c r="H36" s="842"/>
      <c r="I36" s="847" t="s">
        <v>207</v>
      </c>
      <c r="J36" s="848"/>
      <c r="K36" s="848"/>
      <c r="L36" s="848"/>
      <c r="M36" s="848"/>
      <c r="N36" s="849"/>
      <c r="O36" s="270">
        <f>SUM(P36:AT36)</f>
        <v>1500</v>
      </c>
      <c r="P36" s="271"/>
      <c r="Q36" s="272"/>
      <c r="R36" s="272"/>
      <c r="S36" s="272"/>
      <c r="T36" s="272"/>
      <c r="U36" s="272">
        <v>80</v>
      </c>
      <c r="V36" s="272">
        <v>140</v>
      </c>
      <c r="W36" s="272">
        <v>240</v>
      </c>
      <c r="X36" s="272">
        <v>80</v>
      </c>
      <c r="Y36" s="272"/>
      <c r="Z36" s="272"/>
      <c r="AA36" s="272"/>
      <c r="AB36" s="272"/>
      <c r="AC36" s="272">
        <v>600</v>
      </c>
      <c r="AD36" s="272">
        <v>300</v>
      </c>
      <c r="AE36" s="272">
        <v>60</v>
      </c>
      <c r="AF36" s="272"/>
      <c r="AG36" s="273"/>
      <c r="AH36" s="273"/>
      <c r="AI36" s="273"/>
      <c r="AJ36" s="273"/>
      <c r="AK36" s="273"/>
      <c r="AL36" s="273"/>
      <c r="AM36" s="273"/>
      <c r="AN36" s="272"/>
      <c r="AO36" s="272"/>
      <c r="AP36" s="272"/>
      <c r="AQ36" s="272"/>
      <c r="AR36" s="272"/>
      <c r="AS36" s="272"/>
      <c r="AT36" s="274"/>
      <c r="AU36" s="313"/>
    </row>
    <row r="37" spans="2:47" s="280" customFormat="1" ht="30.75" customHeight="1">
      <c r="B37" s="839" t="s">
        <v>44</v>
      </c>
      <c r="C37" s="841" t="s">
        <v>260</v>
      </c>
      <c r="D37" s="843" t="s">
        <v>127</v>
      </c>
      <c r="E37" s="843" t="s">
        <v>138</v>
      </c>
      <c r="F37" s="843" t="s">
        <v>208</v>
      </c>
      <c r="G37" s="843">
        <v>50</v>
      </c>
      <c r="H37" s="843">
        <v>1000</v>
      </c>
      <c r="I37" s="844" t="s">
        <v>206</v>
      </c>
      <c r="J37" s="845"/>
      <c r="K37" s="845"/>
      <c r="L37" s="845"/>
      <c r="M37" s="845"/>
      <c r="N37" s="846"/>
      <c r="O37" s="275">
        <f>SUM(P37:AT37)</f>
        <v>1000</v>
      </c>
      <c r="P37" s="478"/>
      <c r="Q37" s="475"/>
      <c r="R37" s="475"/>
      <c r="S37" s="475"/>
      <c r="T37" s="475"/>
      <c r="U37" s="475"/>
      <c r="V37" s="475"/>
      <c r="W37" s="475"/>
      <c r="X37" s="475"/>
      <c r="Y37" s="475">
        <v>140</v>
      </c>
      <c r="Z37" s="475"/>
      <c r="AA37" s="475"/>
      <c r="AB37" s="475">
        <v>240</v>
      </c>
      <c r="AC37" s="475">
        <v>160</v>
      </c>
      <c r="AD37" s="475"/>
      <c r="AE37" s="475">
        <v>240</v>
      </c>
      <c r="AF37" s="475">
        <v>120</v>
      </c>
      <c r="AG37" s="476"/>
      <c r="AH37" s="476"/>
      <c r="AI37" s="476"/>
      <c r="AJ37" s="476"/>
      <c r="AK37" s="476"/>
      <c r="AL37" s="476"/>
      <c r="AM37" s="476"/>
      <c r="AN37" s="475">
        <v>100</v>
      </c>
      <c r="AO37" s="475"/>
      <c r="AP37" s="475"/>
      <c r="AQ37" s="475"/>
      <c r="AR37" s="475"/>
      <c r="AS37" s="475"/>
      <c r="AT37" s="477"/>
      <c r="AU37" s="313"/>
    </row>
    <row r="38" spans="2:47" s="280" customFormat="1" ht="30.75" customHeight="1">
      <c r="B38" s="840"/>
      <c r="C38" s="842"/>
      <c r="D38" s="842"/>
      <c r="E38" s="842"/>
      <c r="F38" s="842"/>
      <c r="G38" s="842"/>
      <c r="H38" s="842"/>
      <c r="I38" s="847" t="s">
        <v>207</v>
      </c>
      <c r="J38" s="848"/>
      <c r="K38" s="848"/>
      <c r="L38" s="848"/>
      <c r="M38" s="848"/>
      <c r="N38" s="849"/>
      <c r="O38" s="270">
        <f>SUM(P38:AT38)</f>
        <v>1000</v>
      </c>
      <c r="P38" s="271"/>
      <c r="Q38" s="272"/>
      <c r="R38" s="272"/>
      <c r="S38" s="272"/>
      <c r="T38" s="272"/>
      <c r="U38" s="272"/>
      <c r="V38" s="272"/>
      <c r="W38" s="272"/>
      <c r="X38" s="272"/>
      <c r="Y38" s="272">
        <v>140</v>
      </c>
      <c r="Z38" s="272"/>
      <c r="AA38" s="272"/>
      <c r="AB38" s="272"/>
      <c r="AC38" s="272"/>
      <c r="AD38" s="272">
        <v>400</v>
      </c>
      <c r="AE38" s="272">
        <v>140</v>
      </c>
      <c r="AF38" s="272">
        <v>160</v>
      </c>
      <c r="AG38" s="273"/>
      <c r="AH38" s="273"/>
      <c r="AI38" s="273"/>
      <c r="AJ38" s="273"/>
      <c r="AK38" s="273"/>
      <c r="AL38" s="273"/>
      <c r="AM38" s="273"/>
      <c r="AN38" s="272">
        <v>160</v>
      </c>
      <c r="AO38" s="272"/>
      <c r="AP38" s="272"/>
      <c r="AQ38" s="272"/>
      <c r="AR38" s="272"/>
      <c r="AS38" s="272"/>
      <c r="AT38" s="274"/>
      <c r="AU38" s="313"/>
    </row>
    <row r="39" spans="2:47" s="280" customFormat="1" ht="30.75" customHeight="1">
      <c r="B39" s="839" t="s">
        <v>45</v>
      </c>
      <c r="C39" s="843" t="s">
        <v>261</v>
      </c>
      <c r="D39" s="843" t="s">
        <v>127</v>
      </c>
      <c r="E39" s="843" t="s">
        <v>136</v>
      </c>
      <c r="F39" s="843" t="s">
        <v>205</v>
      </c>
      <c r="G39" s="843">
        <v>35</v>
      </c>
      <c r="H39" s="843">
        <v>2000</v>
      </c>
      <c r="I39" s="844" t="s">
        <v>206</v>
      </c>
      <c r="J39" s="845"/>
      <c r="K39" s="845"/>
      <c r="L39" s="845"/>
      <c r="M39" s="845"/>
      <c r="N39" s="846"/>
      <c r="O39" s="275">
        <f>SUM(P39:AT39)</f>
        <v>1360</v>
      </c>
      <c r="P39" s="314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3"/>
      <c r="AH39" s="283"/>
      <c r="AI39" s="283"/>
      <c r="AJ39" s="283"/>
      <c r="AK39" s="283"/>
      <c r="AL39" s="283"/>
      <c r="AM39" s="283"/>
      <c r="AN39" s="277"/>
      <c r="AO39" s="277">
        <v>240</v>
      </c>
      <c r="AP39" s="277">
        <v>280</v>
      </c>
      <c r="AQ39" s="277">
        <v>280</v>
      </c>
      <c r="AR39" s="277"/>
      <c r="AS39" s="277">
        <v>280</v>
      </c>
      <c r="AT39" s="279">
        <v>280</v>
      </c>
      <c r="AU39" s="313"/>
    </row>
    <row r="40" spans="2:47" s="280" customFormat="1" ht="30.75" customHeight="1" thickBot="1">
      <c r="B40" s="840"/>
      <c r="C40" s="842"/>
      <c r="D40" s="842"/>
      <c r="E40" s="842"/>
      <c r="F40" s="842"/>
      <c r="G40" s="842"/>
      <c r="H40" s="842"/>
      <c r="I40" s="847" t="s">
        <v>207</v>
      </c>
      <c r="J40" s="848"/>
      <c r="K40" s="848"/>
      <c r="L40" s="848"/>
      <c r="M40" s="848"/>
      <c r="N40" s="849"/>
      <c r="O40" s="270">
        <f t="shared" si="0"/>
        <v>1360</v>
      </c>
      <c r="P40" s="315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73"/>
      <c r="AH40" s="273"/>
      <c r="AI40" s="273"/>
      <c r="AJ40" s="273"/>
      <c r="AK40" s="273"/>
      <c r="AL40" s="273"/>
      <c r="AM40" s="273"/>
      <c r="AN40" s="298"/>
      <c r="AO40" s="298">
        <v>240</v>
      </c>
      <c r="AP40" s="298">
        <v>280</v>
      </c>
      <c r="AQ40" s="298">
        <v>280</v>
      </c>
      <c r="AR40" s="298"/>
      <c r="AS40" s="298">
        <v>280</v>
      </c>
      <c r="AT40" s="299">
        <v>280</v>
      </c>
      <c r="AU40" s="313"/>
    </row>
    <row r="41" spans="2:47" s="260" customFormat="1" ht="18.75" hidden="1" customHeight="1">
      <c r="B41" s="288"/>
      <c r="C41" s="289"/>
      <c r="D41" s="289"/>
      <c r="E41" s="289"/>
      <c r="F41" s="289"/>
      <c r="G41" s="289"/>
      <c r="H41" s="289"/>
      <c r="I41" s="290"/>
      <c r="J41" s="290"/>
      <c r="K41" s="291"/>
      <c r="L41" s="291"/>
      <c r="M41" s="292"/>
      <c r="N41" s="293"/>
      <c r="O41" s="294"/>
      <c r="P41" s="297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9"/>
      <c r="AU41" s="296"/>
    </row>
    <row r="42" spans="2:47" s="260" customFormat="1" ht="18.75" hidden="1" customHeight="1">
      <c r="B42" s="288"/>
      <c r="C42" s="289"/>
      <c r="D42" s="289"/>
      <c r="E42" s="289"/>
      <c r="F42" s="289"/>
      <c r="G42" s="289"/>
      <c r="H42" s="289"/>
      <c r="I42" s="290"/>
      <c r="J42" s="290"/>
      <c r="K42" s="291"/>
      <c r="L42" s="291"/>
      <c r="M42" s="292"/>
      <c r="N42" s="293"/>
      <c r="O42" s="294"/>
      <c r="P42" s="297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9"/>
      <c r="AU42" s="296"/>
    </row>
    <row r="43" spans="2:47" s="260" customFormat="1" ht="18.75" hidden="1" customHeight="1">
      <c r="B43" s="288"/>
      <c r="C43" s="289"/>
      <c r="D43" s="289"/>
      <c r="E43" s="289"/>
      <c r="F43" s="289"/>
      <c r="G43" s="289"/>
      <c r="H43" s="289"/>
      <c r="I43" s="290"/>
      <c r="J43" s="290"/>
      <c r="K43" s="291"/>
      <c r="L43" s="291"/>
      <c r="M43" s="292"/>
      <c r="N43" s="293"/>
      <c r="O43" s="294"/>
      <c r="P43" s="297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9"/>
      <c r="AU43" s="296"/>
    </row>
    <row r="44" spans="2:47" s="260" customFormat="1" ht="18.75" hidden="1" customHeight="1" thickBot="1">
      <c r="B44" s="317"/>
      <c r="C44" s="318"/>
      <c r="D44" s="318"/>
      <c r="E44" s="318"/>
      <c r="F44" s="318"/>
      <c r="G44" s="318"/>
      <c r="H44" s="318"/>
      <c r="I44" s="319"/>
      <c r="J44" s="319"/>
      <c r="K44" s="320"/>
      <c r="L44" s="320"/>
      <c r="M44" s="321"/>
      <c r="N44" s="322"/>
      <c r="O44" s="323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7"/>
      <c r="AU44" s="296"/>
    </row>
    <row r="45" spans="2:47" s="305" customFormat="1" ht="30" customHeight="1">
      <c r="B45" s="300"/>
      <c r="C45" s="301"/>
      <c r="D45" s="301"/>
      <c r="E45" s="302"/>
      <c r="F45" s="302"/>
      <c r="G45" s="302"/>
      <c r="H45" s="303"/>
      <c r="I45" s="850" t="s">
        <v>206</v>
      </c>
      <c r="J45" s="851"/>
      <c r="K45" s="851"/>
      <c r="L45" s="851"/>
      <c r="M45" s="851"/>
      <c r="N45" s="852"/>
      <c r="O45" s="304">
        <f>SUM(O31,O33,O35,O37)</f>
        <v>2500</v>
      </c>
      <c r="P45" s="324"/>
      <c r="Q45" s="324"/>
      <c r="R45" s="324"/>
      <c r="S45" s="324"/>
      <c r="T45" s="324"/>
      <c r="U45" s="324"/>
      <c r="V45" s="585" t="s">
        <v>217</v>
      </c>
      <c r="W45" s="585"/>
      <c r="X45" s="585"/>
      <c r="Y45" s="585" t="s">
        <v>217</v>
      </c>
      <c r="Z45" s="585"/>
      <c r="AA45" s="585"/>
      <c r="AB45" s="585" t="s">
        <v>286</v>
      </c>
      <c r="AC45" s="585"/>
      <c r="AD45" s="585"/>
      <c r="AE45" s="585"/>
      <c r="AF45" s="585" t="s">
        <v>344</v>
      </c>
      <c r="AG45" s="585"/>
      <c r="AH45" s="585"/>
      <c r="AI45" s="324"/>
      <c r="AJ45" s="324"/>
      <c r="AK45" s="324"/>
      <c r="AL45" s="324"/>
      <c r="AM45" s="324"/>
      <c r="AN45" s="324"/>
      <c r="AO45" s="324"/>
      <c r="AP45" s="585" t="s">
        <v>217</v>
      </c>
      <c r="AQ45" s="586"/>
      <c r="AR45" s="586"/>
      <c r="AS45" s="585" t="s">
        <v>217</v>
      </c>
      <c r="AT45" s="586"/>
      <c r="AU45" s="586"/>
    </row>
    <row r="46" spans="2:47" s="305" customFormat="1" ht="30" customHeight="1" thickBot="1">
      <c r="B46" s="306"/>
      <c r="C46" s="307"/>
      <c r="D46" s="307"/>
      <c r="E46" s="308"/>
      <c r="F46" s="308"/>
      <c r="G46" s="308"/>
      <c r="H46" s="309"/>
      <c r="I46" s="836" t="s">
        <v>207</v>
      </c>
      <c r="J46" s="837"/>
      <c r="K46" s="837"/>
      <c r="L46" s="837"/>
      <c r="M46" s="837"/>
      <c r="N46" s="838"/>
      <c r="O46" s="310">
        <f>SUM(O32,O34,O36,O38)</f>
        <v>2720</v>
      </c>
      <c r="P46" s="326"/>
      <c r="Q46" s="326"/>
      <c r="R46" s="326"/>
      <c r="S46" s="326"/>
      <c r="T46" s="326"/>
      <c r="U46" s="326"/>
      <c r="V46" s="587" t="s">
        <v>323</v>
      </c>
      <c r="W46" s="587"/>
      <c r="X46" s="587"/>
      <c r="Y46" s="587" t="s">
        <v>342</v>
      </c>
      <c r="Z46" s="587"/>
      <c r="AA46" s="587"/>
      <c r="AB46" s="587" t="s">
        <v>287</v>
      </c>
      <c r="AC46" s="587"/>
      <c r="AD46" s="587"/>
      <c r="AE46" s="587"/>
      <c r="AF46" s="675" t="s">
        <v>349</v>
      </c>
      <c r="AG46" s="675"/>
      <c r="AH46" s="675"/>
      <c r="AL46" s="326"/>
      <c r="AM46" s="326"/>
      <c r="AN46" s="326"/>
      <c r="AO46" s="326"/>
      <c r="AP46" s="891">
        <v>540</v>
      </c>
      <c r="AQ46" s="891"/>
      <c r="AR46" s="891"/>
      <c r="AS46" s="891">
        <f>1460-540</f>
        <v>920</v>
      </c>
      <c r="AT46" s="891"/>
      <c r="AU46" s="891"/>
    </row>
    <row r="47" spans="2:47" ht="16.5" customHeight="1">
      <c r="AF47" s="676" t="s">
        <v>343</v>
      </c>
      <c r="AG47" s="677"/>
      <c r="AH47" s="677"/>
      <c r="AI47" s="703"/>
      <c r="AJ47" s="703"/>
      <c r="AK47" s="704"/>
    </row>
    <row r="48" spans="2:47" ht="18" customHeight="1" thickBot="1">
      <c r="D48" s="246" t="s">
        <v>218</v>
      </c>
      <c r="AF48" s="678" t="s">
        <v>322</v>
      </c>
      <c r="AG48" s="587"/>
      <c r="AH48" s="587"/>
      <c r="AI48" s="326"/>
      <c r="AJ48" s="326"/>
      <c r="AK48" s="705"/>
    </row>
    <row r="49" spans="2:46" ht="18" customHeight="1">
      <c r="D49" s="247" t="s">
        <v>193</v>
      </c>
      <c r="O49" s="248"/>
      <c r="V49" s="892"/>
      <c r="W49" s="869"/>
    </row>
    <row r="50" spans="2:46" ht="5.25" customHeight="1"/>
    <row r="51" spans="2:46" s="248" customFormat="1" ht="16.5" customHeight="1" thickBot="1">
      <c r="E51" s="249" t="s">
        <v>194</v>
      </c>
      <c r="F51" s="250">
        <f>I51-N51</f>
        <v>-4</v>
      </c>
      <c r="G51" s="251"/>
      <c r="H51" s="249" t="s">
        <v>195</v>
      </c>
      <c r="I51" s="854">
        <v>19</v>
      </c>
      <c r="J51" s="854"/>
      <c r="K51" s="252"/>
      <c r="M51" s="249" t="s">
        <v>196</v>
      </c>
      <c r="N51" s="855">
        <f>COUNT(P53:AS53)</f>
        <v>23</v>
      </c>
      <c r="O51" s="855"/>
      <c r="P51" s="253" t="s">
        <v>122</v>
      </c>
      <c r="Q51" s="253" t="s">
        <v>121</v>
      </c>
      <c r="R51" s="253" t="s">
        <v>123</v>
      </c>
      <c r="S51" s="253" t="s">
        <v>119</v>
      </c>
      <c r="T51" s="253" t="s">
        <v>119</v>
      </c>
      <c r="U51" s="253" t="s">
        <v>120</v>
      </c>
      <c r="V51" s="253" t="s">
        <v>121</v>
      </c>
      <c r="W51" s="253" t="s">
        <v>122</v>
      </c>
      <c r="X51" s="253" t="s">
        <v>121</v>
      </c>
      <c r="Y51" s="253" t="s">
        <v>123</v>
      </c>
      <c r="Z51" s="253" t="s">
        <v>119</v>
      </c>
      <c r="AA51" s="253" t="s">
        <v>119</v>
      </c>
      <c r="AB51" s="253" t="s">
        <v>120</v>
      </c>
      <c r="AC51" s="253" t="s">
        <v>121</v>
      </c>
      <c r="AD51" s="253" t="s">
        <v>122</v>
      </c>
      <c r="AE51" s="253" t="s">
        <v>121</v>
      </c>
      <c r="AF51" s="253" t="s">
        <v>123</v>
      </c>
      <c r="AG51" s="253" t="s">
        <v>119</v>
      </c>
      <c r="AH51" s="253" t="s">
        <v>119</v>
      </c>
      <c r="AI51" s="253" t="s">
        <v>120</v>
      </c>
      <c r="AJ51" s="253" t="s">
        <v>121</v>
      </c>
      <c r="AK51" s="253" t="s">
        <v>122</v>
      </c>
      <c r="AL51" s="253" t="s">
        <v>121</v>
      </c>
      <c r="AM51" s="253" t="s">
        <v>123</v>
      </c>
      <c r="AN51" s="253" t="s">
        <v>119</v>
      </c>
      <c r="AO51" s="253" t="s">
        <v>119</v>
      </c>
      <c r="AP51" s="253" t="s">
        <v>120</v>
      </c>
      <c r="AQ51" s="253" t="s">
        <v>121</v>
      </c>
      <c r="AR51" s="253" t="s">
        <v>122</v>
      </c>
      <c r="AS51" s="253" t="s">
        <v>121</v>
      </c>
    </row>
    <row r="52" spans="2:46" s="260" customFormat="1" ht="18" customHeight="1" thickBot="1">
      <c r="B52" s="856" t="s">
        <v>115</v>
      </c>
      <c r="C52" s="858" t="s">
        <v>117</v>
      </c>
      <c r="D52" s="858" t="s">
        <v>116</v>
      </c>
      <c r="E52" s="858" t="s">
        <v>197</v>
      </c>
      <c r="F52" s="858"/>
      <c r="G52" s="858"/>
      <c r="H52" s="860" t="s">
        <v>198</v>
      </c>
      <c r="I52" s="861" t="s">
        <v>199</v>
      </c>
      <c r="J52" s="862"/>
      <c r="K52" s="862"/>
      <c r="L52" s="862"/>
      <c r="M52" s="862"/>
      <c r="N52" s="863"/>
      <c r="O52" s="867" t="s">
        <v>200</v>
      </c>
      <c r="P52" s="327">
        <v>1</v>
      </c>
      <c r="Q52" s="255">
        <v>2</v>
      </c>
      <c r="R52" s="257">
        <v>3</v>
      </c>
      <c r="S52" s="256">
        <v>4</v>
      </c>
      <c r="T52" s="257">
        <v>5</v>
      </c>
      <c r="U52" s="256">
        <v>6</v>
      </c>
      <c r="V52" s="255">
        <v>7</v>
      </c>
      <c r="W52" s="255">
        <v>8</v>
      </c>
      <c r="X52" s="255">
        <v>9</v>
      </c>
      <c r="Y52" s="255">
        <v>10</v>
      </c>
      <c r="Z52" s="256">
        <v>11</v>
      </c>
      <c r="AA52" s="257">
        <v>12</v>
      </c>
      <c r="AB52" s="255">
        <v>13</v>
      </c>
      <c r="AC52" s="255">
        <v>14</v>
      </c>
      <c r="AD52" s="255">
        <v>15</v>
      </c>
      <c r="AE52" s="255">
        <v>16</v>
      </c>
      <c r="AF52" s="255">
        <v>17</v>
      </c>
      <c r="AG52" s="256">
        <v>18</v>
      </c>
      <c r="AH52" s="257">
        <v>19</v>
      </c>
      <c r="AI52" s="255">
        <v>20</v>
      </c>
      <c r="AJ52" s="255">
        <v>21</v>
      </c>
      <c r="AK52" s="255">
        <v>22</v>
      </c>
      <c r="AL52" s="255">
        <v>23</v>
      </c>
      <c r="AM52" s="255">
        <v>24</v>
      </c>
      <c r="AN52" s="256">
        <v>25</v>
      </c>
      <c r="AO52" s="257">
        <v>26</v>
      </c>
      <c r="AP52" s="255">
        <v>27</v>
      </c>
      <c r="AQ52" s="255">
        <v>28</v>
      </c>
      <c r="AR52" s="255">
        <v>29</v>
      </c>
      <c r="AS52" s="312">
        <v>30</v>
      </c>
      <c r="AT52" s="296"/>
    </row>
    <row r="53" spans="2:46" s="260" customFormat="1" ht="17.25" customHeight="1" thickBot="1">
      <c r="B53" s="857"/>
      <c r="C53" s="859"/>
      <c r="D53" s="859"/>
      <c r="E53" s="261" t="s">
        <v>201</v>
      </c>
      <c r="F53" s="261" t="s">
        <v>202</v>
      </c>
      <c r="G53" s="261" t="s">
        <v>203</v>
      </c>
      <c r="H53" s="859"/>
      <c r="I53" s="864"/>
      <c r="J53" s="865"/>
      <c r="K53" s="865"/>
      <c r="L53" s="865"/>
      <c r="M53" s="865"/>
      <c r="N53" s="866"/>
      <c r="O53" s="868"/>
      <c r="P53" s="262">
        <v>2</v>
      </c>
      <c r="Q53" s="263">
        <v>2</v>
      </c>
      <c r="R53" s="263"/>
      <c r="S53" s="263"/>
      <c r="T53" s="263"/>
      <c r="U53" s="263"/>
      <c r="V53" s="263">
        <v>2</v>
      </c>
      <c r="W53" s="263">
        <v>2</v>
      </c>
      <c r="X53" s="263">
        <v>2</v>
      </c>
      <c r="Y53" s="263">
        <v>2</v>
      </c>
      <c r="Z53" s="263">
        <v>2</v>
      </c>
      <c r="AA53" s="263"/>
      <c r="AB53" s="263">
        <v>2</v>
      </c>
      <c r="AC53" s="263">
        <v>2</v>
      </c>
      <c r="AD53" s="263">
        <v>2</v>
      </c>
      <c r="AE53" s="263">
        <v>2</v>
      </c>
      <c r="AF53" s="263">
        <v>2</v>
      </c>
      <c r="AG53" s="263">
        <v>2</v>
      </c>
      <c r="AH53" s="263"/>
      <c r="AI53" s="263">
        <v>2</v>
      </c>
      <c r="AJ53" s="263">
        <v>2</v>
      </c>
      <c r="AK53" s="263">
        <v>2</v>
      </c>
      <c r="AL53" s="263">
        <v>2</v>
      </c>
      <c r="AM53" s="263">
        <v>2</v>
      </c>
      <c r="AN53" s="263">
        <v>2</v>
      </c>
      <c r="AO53" s="263"/>
      <c r="AP53" s="263">
        <v>2</v>
      </c>
      <c r="AQ53" s="263">
        <v>2</v>
      </c>
      <c r="AR53" s="263">
        <v>2</v>
      </c>
      <c r="AS53" s="263">
        <v>2</v>
      </c>
      <c r="AT53" s="296"/>
    </row>
    <row r="54" spans="2:46" s="260" customFormat="1" ht="30" customHeight="1">
      <c r="B54" s="853" t="s">
        <v>41</v>
      </c>
      <c r="C54" s="841" t="s">
        <v>260</v>
      </c>
      <c r="D54" s="843" t="s">
        <v>127</v>
      </c>
      <c r="E54" s="843" t="s">
        <v>138</v>
      </c>
      <c r="F54" s="843" t="s">
        <v>208</v>
      </c>
      <c r="G54" s="843">
        <v>50</v>
      </c>
      <c r="H54" s="843">
        <v>1000</v>
      </c>
      <c r="I54" s="844" t="s">
        <v>206</v>
      </c>
      <c r="J54" s="845"/>
      <c r="K54" s="845"/>
      <c r="L54" s="845"/>
      <c r="M54" s="845"/>
      <c r="N54" s="846"/>
      <c r="O54" s="275">
        <f t="shared" ref="O54:O55" si="1">SUM(P54:AS54)</f>
        <v>640</v>
      </c>
      <c r="P54" s="328">
        <v>280</v>
      </c>
      <c r="Q54" s="329">
        <v>280</v>
      </c>
      <c r="R54" s="330"/>
      <c r="S54" s="330"/>
      <c r="T54" s="330"/>
      <c r="U54" s="330"/>
      <c r="V54" s="329">
        <v>80</v>
      </c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296"/>
    </row>
    <row r="55" spans="2:46" s="260" customFormat="1" ht="30" customHeight="1">
      <c r="B55" s="840"/>
      <c r="C55" s="842"/>
      <c r="D55" s="842"/>
      <c r="E55" s="842"/>
      <c r="F55" s="842"/>
      <c r="G55" s="842"/>
      <c r="H55" s="842"/>
      <c r="I55" s="847" t="s">
        <v>207</v>
      </c>
      <c r="J55" s="848"/>
      <c r="K55" s="848"/>
      <c r="L55" s="848"/>
      <c r="M55" s="848"/>
      <c r="N55" s="849"/>
      <c r="O55" s="270">
        <f t="shared" si="1"/>
        <v>640</v>
      </c>
      <c r="P55" s="331">
        <v>280</v>
      </c>
      <c r="Q55" s="332">
        <v>280</v>
      </c>
      <c r="R55" s="333"/>
      <c r="S55" s="333"/>
      <c r="T55" s="333"/>
      <c r="U55" s="333"/>
      <c r="V55" s="332">
        <v>80</v>
      </c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296"/>
    </row>
    <row r="56" spans="2:46" s="280" customFormat="1" ht="30" customHeight="1">
      <c r="B56" s="839" t="s">
        <v>43</v>
      </c>
      <c r="C56" s="491" t="s">
        <v>263</v>
      </c>
      <c r="D56" s="490" t="s">
        <v>127</v>
      </c>
      <c r="E56" s="490" t="s">
        <v>138</v>
      </c>
      <c r="F56" s="490" t="s">
        <v>205</v>
      </c>
      <c r="G56" s="490">
        <v>50</v>
      </c>
      <c r="H56" s="490">
        <v>1000</v>
      </c>
      <c r="I56" s="883" t="s">
        <v>206</v>
      </c>
      <c r="J56" s="884"/>
      <c r="K56" s="884"/>
      <c r="L56" s="884"/>
      <c r="M56" s="884"/>
      <c r="N56" s="885"/>
      <c r="O56" s="275">
        <f t="shared" ref="O56:O63" si="2">SUM(P56:AS56)</f>
        <v>1000</v>
      </c>
      <c r="P56" s="276"/>
      <c r="Q56" s="277"/>
      <c r="R56" s="278"/>
      <c r="S56" s="278"/>
      <c r="T56" s="278"/>
      <c r="U56" s="278"/>
      <c r="V56" s="277">
        <v>80</v>
      </c>
      <c r="W56" s="277">
        <v>240</v>
      </c>
      <c r="X56" s="277">
        <v>240</v>
      </c>
      <c r="Y56" s="277">
        <v>240</v>
      </c>
      <c r="Z56" s="277">
        <v>200</v>
      </c>
      <c r="AA56" s="277"/>
      <c r="AB56" s="277"/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313"/>
    </row>
    <row r="57" spans="2:46" s="280" customFormat="1" ht="30" customHeight="1">
      <c r="B57" s="840"/>
      <c r="C57" s="489"/>
      <c r="D57" s="489"/>
      <c r="E57" s="489"/>
      <c r="F57" s="489"/>
      <c r="G57" s="489"/>
      <c r="H57" s="489"/>
      <c r="I57" s="847" t="s">
        <v>207</v>
      </c>
      <c r="J57" s="848"/>
      <c r="K57" s="848"/>
      <c r="L57" s="848"/>
      <c r="M57" s="848"/>
      <c r="N57" s="849"/>
      <c r="O57" s="270">
        <f t="shared" si="2"/>
        <v>1000</v>
      </c>
      <c r="P57" s="331"/>
      <c r="Q57" s="332"/>
      <c r="R57" s="333"/>
      <c r="S57" s="333"/>
      <c r="T57" s="333"/>
      <c r="U57" s="333"/>
      <c r="V57" s="332">
        <v>40</v>
      </c>
      <c r="W57" s="332">
        <v>240</v>
      </c>
      <c r="X57" s="332">
        <v>240</v>
      </c>
      <c r="Y57" s="332">
        <v>240</v>
      </c>
      <c r="Z57" s="332">
        <v>240</v>
      </c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2"/>
      <c r="AQ57" s="332"/>
      <c r="AR57" s="332"/>
      <c r="AS57" s="332"/>
      <c r="AT57" s="313"/>
    </row>
    <row r="58" spans="2:46" s="280" customFormat="1" ht="30" customHeight="1">
      <c r="B58" s="839" t="s">
        <v>44</v>
      </c>
      <c r="C58" s="491" t="s">
        <v>221</v>
      </c>
      <c r="D58" s="490" t="s">
        <v>127</v>
      </c>
      <c r="E58" s="490" t="s">
        <v>136</v>
      </c>
      <c r="F58" s="490" t="s">
        <v>205</v>
      </c>
      <c r="G58" s="490">
        <v>50</v>
      </c>
      <c r="H58" s="490">
        <v>1000</v>
      </c>
      <c r="I58" s="883" t="s">
        <v>206</v>
      </c>
      <c r="J58" s="884"/>
      <c r="K58" s="884"/>
      <c r="L58" s="884"/>
      <c r="M58" s="884"/>
      <c r="N58" s="885"/>
      <c r="O58" s="275">
        <f t="shared" si="2"/>
        <v>1000</v>
      </c>
      <c r="P58" s="276"/>
      <c r="Q58" s="277"/>
      <c r="R58" s="278"/>
      <c r="S58" s="278"/>
      <c r="T58" s="278"/>
      <c r="U58" s="278"/>
      <c r="V58" s="277"/>
      <c r="W58" s="277"/>
      <c r="X58" s="277"/>
      <c r="Y58" s="277"/>
      <c r="Z58" s="277"/>
      <c r="AA58" s="277"/>
      <c r="AB58" s="277">
        <v>160</v>
      </c>
      <c r="AC58" s="277">
        <v>240</v>
      </c>
      <c r="AD58" s="277">
        <v>240</v>
      </c>
      <c r="AE58" s="277">
        <v>240</v>
      </c>
      <c r="AF58" s="277">
        <v>120</v>
      </c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313"/>
    </row>
    <row r="59" spans="2:46" s="280" customFormat="1" ht="30" customHeight="1">
      <c r="B59" s="840"/>
      <c r="C59" s="489"/>
      <c r="D59" s="489"/>
      <c r="E59" s="489"/>
      <c r="F59" s="489"/>
      <c r="G59" s="489"/>
      <c r="H59" s="489"/>
      <c r="I59" s="847" t="s">
        <v>207</v>
      </c>
      <c r="J59" s="848"/>
      <c r="K59" s="848"/>
      <c r="L59" s="848"/>
      <c r="M59" s="848"/>
      <c r="N59" s="849"/>
      <c r="O59" s="270">
        <f t="shared" si="2"/>
        <v>1000</v>
      </c>
      <c r="P59" s="331"/>
      <c r="Q59" s="332"/>
      <c r="R59" s="333"/>
      <c r="S59" s="333"/>
      <c r="T59" s="333"/>
      <c r="U59" s="333"/>
      <c r="V59" s="332"/>
      <c r="W59" s="332"/>
      <c r="X59" s="332"/>
      <c r="Y59" s="332"/>
      <c r="Z59" s="332"/>
      <c r="AA59" s="332"/>
      <c r="AB59" s="332">
        <v>160</v>
      </c>
      <c r="AC59" s="332">
        <v>240</v>
      </c>
      <c r="AD59" s="332">
        <v>240</v>
      </c>
      <c r="AE59" s="332">
        <v>240</v>
      </c>
      <c r="AF59" s="332">
        <v>120</v>
      </c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13"/>
    </row>
    <row r="60" spans="2:46" s="280" customFormat="1" ht="30" customHeight="1">
      <c r="B60" s="839" t="s">
        <v>45</v>
      </c>
      <c r="C60" s="491" t="s">
        <v>222</v>
      </c>
      <c r="D60" s="490" t="s">
        <v>127</v>
      </c>
      <c r="E60" s="490" t="s">
        <v>138</v>
      </c>
      <c r="F60" s="490" t="s">
        <v>205</v>
      </c>
      <c r="G60" s="490">
        <v>35</v>
      </c>
      <c r="H60" s="490">
        <v>2000</v>
      </c>
      <c r="I60" s="883" t="s">
        <v>206</v>
      </c>
      <c r="J60" s="884"/>
      <c r="K60" s="884"/>
      <c r="L60" s="884"/>
      <c r="M60" s="884"/>
      <c r="N60" s="885"/>
      <c r="O60" s="275">
        <f t="shared" si="2"/>
        <v>2000</v>
      </c>
      <c r="P60" s="314"/>
      <c r="Q60" s="277"/>
      <c r="R60" s="278"/>
      <c r="S60" s="278"/>
      <c r="T60" s="278"/>
      <c r="U60" s="278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>
        <v>120</v>
      </c>
      <c r="AG60" s="277">
        <v>280</v>
      </c>
      <c r="AH60" s="277"/>
      <c r="AI60" s="277">
        <v>280</v>
      </c>
      <c r="AJ60" s="277">
        <v>280</v>
      </c>
      <c r="AK60" s="277">
        <v>280</v>
      </c>
      <c r="AL60" s="277">
        <v>280</v>
      </c>
      <c r="AM60" s="277">
        <v>280</v>
      </c>
      <c r="AN60" s="277">
        <v>200</v>
      </c>
      <c r="AO60" s="277"/>
      <c r="AP60" s="277"/>
      <c r="AQ60" s="277"/>
      <c r="AR60" s="277"/>
      <c r="AS60" s="277"/>
      <c r="AT60" s="313"/>
    </row>
    <row r="61" spans="2:46" s="280" customFormat="1" ht="30" customHeight="1">
      <c r="B61" s="840"/>
      <c r="C61" s="489"/>
      <c r="D61" s="489"/>
      <c r="E61" s="489"/>
      <c r="F61" s="489"/>
      <c r="G61" s="489"/>
      <c r="H61" s="489"/>
      <c r="I61" s="847" t="s">
        <v>207</v>
      </c>
      <c r="J61" s="848"/>
      <c r="K61" s="848"/>
      <c r="L61" s="848"/>
      <c r="M61" s="848"/>
      <c r="N61" s="849"/>
      <c r="O61" s="270">
        <f t="shared" si="2"/>
        <v>2000</v>
      </c>
      <c r="P61" s="331"/>
      <c r="Q61" s="332"/>
      <c r="R61" s="333"/>
      <c r="S61" s="333"/>
      <c r="T61" s="333"/>
      <c r="U61" s="333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>
        <v>80</v>
      </c>
      <c r="AG61" s="332">
        <v>240</v>
      </c>
      <c r="AH61" s="332"/>
      <c r="AI61" s="332">
        <v>280</v>
      </c>
      <c r="AJ61" s="332">
        <v>280</v>
      </c>
      <c r="AK61" s="332">
        <v>280</v>
      </c>
      <c r="AL61" s="332">
        <v>280</v>
      </c>
      <c r="AM61" s="332">
        <v>280</v>
      </c>
      <c r="AN61" s="332">
        <v>280</v>
      </c>
      <c r="AO61" s="332"/>
      <c r="AP61" s="332"/>
      <c r="AQ61" s="332"/>
      <c r="AR61" s="332"/>
      <c r="AS61" s="517"/>
      <c r="AT61" s="313"/>
    </row>
    <row r="62" spans="2:46" s="260" customFormat="1" ht="30" customHeight="1">
      <c r="B62" s="839" t="s">
        <v>46</v>
      </c>
      <c r="C62" s="841" t="s">
        <v>223</v>
      </c>
      <c r="D62" s="843" t="s">
        <v>127</v>
      </c>
      <c r="E62" s="843" t="s">
        <v>138</v>
      </c>
      <c r="F62" s="843" t="s">
        <v>205</v>
      </c>
      <c r="G62" s="843">
        <v>50</v>
      </c>
      <c r="H62" s="843">
        <v>2000</v>
      </c>
      <c r="I62" s="844" t="s">
        <v>206</v>
      </c>
      <c r="J62" s="845"/>
      <c r="K62" s="845"/>
      <c r="L62" s="845"/>
      <c r="M62" s="845"/>
      <c r="N62" s="846"/>
      <c r="O62" s="275">
        <f t="shared" si="2"/>
        <v>1040</v>
      </c>
      <c r="P62" s="314"/>
      <c r="Q62" s="277"/>
      <c r="R62" s="278"/>
      <c r="S62" s="278"/>
      <c r="T62" s="278"/>
      <c r="U62" s="278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>
        <v>200</v>
      </c>
      <c r="AQ62" s="277">
        <v>280</v>
      </c>
      <c r="AR62" s="277">
        <v>280</v>
      </c>
      <c r="AS62" s="279">
        <v>280</v>
      </c>
      <c r="AT62" s="296"/>
    </row>
    <row r="63" spans="2:46" s="260" customFormat="1" ht="30" customHeight="1" thickBot="1">
      <c r="B63" s="840"/>
      <c r="C63" s="842"/>
      <c r="D63" s="842"/>
      <c r="E63" s="842"/>
      <c r="F63" s="842"/>
      <c r="G63" s="842"/>
      <c r="H63" s="842"/>
      <c r="I63" s="847" t="s">
        <v>207</v>
      </c>
      <c r="J63" s="848"/>
      <c r="K63" s="848"/>
      <c r="L63" s="848"/>
      <c r="M63" s="848"/>
      <c r="N63" s="849"/>
      <c r="O63" s="270">
        <f t="shared" si="2"/>
        <v>920</v>
      </c>
      <c r="P63" s="315"/>
      <c r="Q63" s="298"/>
      <c r="R63" s="316"/>
      <c r="S63" s="316"/>
      <c r="T63" s="316"/>
      <c r="U63" s="316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>
        <v>80</v>
      </c>
      <c r="AQ63" s="298">
        <v>280</v>
      </c>
      <c r="AR63" s="298">
        <v>280</v>
      </c>
      <c r="AS63" s="299">
        <v>280</v>
      </c>
      <c r="AT63" s="296"/>
    </row>
    <row r="64" spans="2:46" s="260" customFormat="1" ht="30" hidden="1" customHeight="1">
      <c r="B64" s="288"/>
      <c r="C64" s="289"/>
      <c r="D64" s="289"/>
      <c r="E64" s="289"/>
      <c r="F64" s="289"/>
      <c r="G64" s="289"/>
      <c r="H64" s="289"/>
      <c r="I64" s="290"/>
      <c r="J64" s="290"/>
      <c r="K64" s="291"/>
      <c r="L64" s="291"/>
      <c r="M64" s="292"/>
      <c r="N64" s="293"/>
      <c r="O64" s="294"/>
      <c r="P64" s="297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9"/>
      <c r="AT64" s="296"/>
    </row>
    <row r="65" spans="2:46" s="260" customFormat="1" ht="30" hidden="1" customHeight="1" thickBot="1">
      <c r="B65" s="317"/>
      <c r="C65" s="318"/>
      <c r="D65" s="318"/>
      <c r="E65" s="318"/>
      <c r="F65" s="318"/>
      <c r="G65" s="318"/>
      <c r="H65" s="318"/>
      <c r="I65" s="319"/>
      <c r="J65" s="319"/>
      <c r="K65" s="320"/>
      <c r="L65" s="320"/>
      <c r="M65" s="321"/>
      <c r="N65" s="322"/>
      <c r="O65" s="323"/>
      <c r="P65" s="285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7"/>
      <c r="AT65" s="296"/>
    </row>
    <row r="66" spans="2:46" s="305" customFormat="1" ht="30" customHeight="1">
      <c r="B66" s="300"/>
      <c r="C66" s="301"/>
      <c r="D66" s="301"/>
      <c r="E66" s="302"/>
      <c r="F66" s="302"/>
      <c r="G66" s="302"/>
      <c r="H66" s="303"/>
      <c r="I66" s="850" t="s">
        <v>206</v>
      </c>
      <c r="J66" s="851"/>
      <c r="K66" s="851"/>
      <c r="L66" s="851"/>
      <c r="M66" s="851"/>
      <c r="N66" s="852"/>
      <c r="O66" s="304">
        <f>SUM(O54,O56,O58,O60)</f>
        <v>4640</v>
      </c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4"/>
      <c r="AP66" s="324"/>
      <c r="AQ66" s="324"/>
      <c r="AR66" s="324"/>
      <c r="AS66" s="324"/>
      <c r="AT66" s="325"/>
    </row>
    <row r="67" spans="2:46" s="305" customFormat="1" ht="30" customHeight="1" thickBot="1">
      <c r="B67" s="306"/>
      <c r="C67" s="307"/>
      <c r="D67" s="307"/>
      <c r="E67" s="308"/>
      <c r="F67" s="308"/>
      <c r="G67" s="308"/>
      <c r="H67" s="309"/>
      <c r="I67" s="836" t="s">
        <v>207</v>
      </c>
      <c r="J67" s="837"/>
      <c r="K67" s="837"/>
      <c r="L67" s="837"/>
      <c r="M67" s="837"/>
      <c r="N67" s="838"/>
      <c r="O67" s="310">
        <f>SUM(O55,O57,O59,O61)</f>
        <v>4640</v>
      </c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25"/>
    </row>
    <row r="68" spans="2:46" ht="27.75" customHeight="1">
      <c r="D68" s="246" t="s">
        <v>224</v>
      </c>
    </row>
    <row r="69" spans="2:46" ht="18" customHeight="1">
      <c r="D69" s="247" t="s">
        <v>193</v>
      </c>
      <c r="V69" s="869"/>
      <c r="W69" s="869"/>
    </row>
    <row r="70" spans="2:46" ht="5.25" customHeight="1"/>
    <row r="71" spans="2:46" s="248" customFormat="1" ht="16.5" customHeight="1" thickBot="1">
      <c r="E71" s="249" t="s">
        <v>194</v>
      </c>
      <c r="F71" s="250">
        <f>I71-N71</f>
        <v>3</v>
      </c>
      <c r="G71" s="251"/>
      <c r="H71" s="249" t="s">
        <v>195</v>
      </c>
      <c r="I71" s="854">
        <v>19</v>
      </c>
      <c r="J71" s="854"/>
      <c r="K71" s="252"/>
      <c r="M71" s="249" t="s">
        <v>196</v>
      </c>
      <c r="N71" s="855">
        <f>COUNT(P73:AS73)</f>
        <v>16</v>
      </c>
      <c r="O71" s="855"/>
      <c r="P71" s="253" t="s">
        <v>123</v>
      </c>
      <c r="Q71" s="253" t="s">
        <v>119</v>
      </c>
      <c r="R71" s="253" t="s">
        <v>119</v>
      </c>
      <c r="S71" s="253" t="s">
        <v>120</v>
      </c>
      <c r="T71" s="253" t="s">
        <v>121</v>
      </c>
      <c r="U71" s="253" t="s">
        <v>122</v>
      </c>
      <c r="V71" s="253" t="s">
        <v>121</v>
      </c>
      <c r="W71" s="253" t="s">
        <v>123</v>
      </c>
      <c r="X71" s="253" t="s">
        <v>119</v>
      </c>
      <c r="Y71" s="253" t="s">
        <v>119</v>
      </c>
      <c r="Z71" s="253" t="s">
        <v>120</v>
      </c>
      <c r="AA71" s="253" t="s">
        <v>121</v>
      </c>
      <c r="AB71" s="253" t="s">
        <v>122</v>
      </c>
      <c r="AC71" s="253" t="s">
        <v>121</v>
      </c>
      <c r="AD71" s="253" t="s">
        <v>123</v>
      </c>
      <c r="AE71" s="253" t="s">
        <v>119</v>
      </c>
      <c r="AF71" s="253" t="s">
        <v>119</v>
      </c>
      <c r="AG71" s="253" t="s">
        <v>120</v>
      </c>
      <c r="AH71" s="253" t="s">
        <v>121</v>
      </c>
      <c r="AI71" s="253" t="s">
        <v>122</v>
      </c>
      <c r="AJ71" s="253" t="s">
        <v>121</v>
      </c>
      <c r="AK71" s="253" t="s">
        <v>123</v>
      </c>
      <c r="AL71" s="253" t="s">
        <v>119</v>
      </c>
      <c r="AM71" s="253" t="s">
        <v>119</v>
      </c>
      <c r="AN71" s="253" t="s">
        <v>120</v>
      </c>
      <c r="AO71" s="253" t="s">
        <v>121</v>
      </c>
      <c r="AP71" s="253" t="s">
        <v>122</v>
      </c>
      <c r="AQ71" s="253" t="s">
        <v>121</v>
      </c>
      <c r="AR71" s="253" t="s">
        <v>123</v>
      </c>
      <c r="AS71" s="253" t="s">
        <v>119</v>
      </c>
      <c r="AT71" s="253" t="s">
        <v>119</v>
      </c>
    </row>
    <row r="72" spans="2:46" s="260" customFormat="1" ht="18" customHeight="1" thickBot="1">
      <c r="B72" s="856" t="s">
        <v>115</v>
      </c>
      <c r="C72" s="858" t="s">
        <v>117</v>
      </c>
      <c r="D72" s="858" t="s">
        <v>116</v>
      </c>
      <c r="E72" s="858" t="s">
        <v>197</v>
      </c>
      <c r="F72" s="858"/>
      <c r="G72" s="858"/>
      <c r="H72" s="860" t="s">
        <v>198</v>
      </c>
      <c r="I72" s="861" t="s">
        <v>199</v>
      </c>
      <c r="J72" s="862"/>
      <c r="K72" s="862"/>
      <c r="L72" s="862"/>
      <c r="M72" s="862"/>
      <c r="N72" s="863"/>
      <c r="O72" s="867" t="s">
        <v>200</v>
      </c>
      <c r="P72" s="327">
        <v>1</v>
      </c>
      <c r="Q72" s="256">
        <v>2</v>
      </c>
      <c r="R72" s="257">
        <v>3</v>
      </c>
      <c r="S72" s="255">
        <v>4</v>
      </c>
      <c r="T72" s="255">
        <v>5</v>
      </c>
      <c r="U72" s="255">
        <v>6</v>
      </c>
      <c r="V72" s="255">
        <v>7</v>
      </c>
      <c r="W72" s="255">
        <v>8</v>
      </c>
      <c r="X72" s="256">
        <v>9</v>
      </c>
      <c r="Y72" s="257">
        <v>10</v>
      </c>
      <c r="Z72" s="255">
        <v>11</v>
      </c>
      <c r="AA72" s="255">
        <v>12</v>
      </c>
      <c r="AB72" s="255">
        <v>13</v>
      </c>
      <c r="AC72" s="255">
        <v>14</v>
      </c>
      <c r="AD72" s="255">
        <v>15</v>
      </c>
      <c r="AE72" s="256">
        <v>16</v>
      </c>
      <c r="AF72" s="257">
        <v>17</v>
      </c>
      <c r="AG72" s="255">
        <v>18</v>
      </c>
      <c r="AH72" s="255">
        <v>19</v>
      </c>
      <c r="AI72" s="255">
        <v>20</v>
      </c>
      <c r="AJ72" s="255">
        <v>21</v>
      </c>
      <c r="AK72" s="255">
        <v>22</v>
      </c>
      <c r="AL72" s="256">
        <v>23</v>
      </c>
      <c r="AM72" s="257">
        <v>24</v>
      </c>
      <c r="AN72" s="255">
        <v>25</v>
      </c>
      <c r="AO72" s="255">
        <v>26</v>
      </c>
      <c r="AP72" s="255">
        <v>27</v>
      </c>
      <c r="AQ72" s="255">
        <v>28</v>
      </c>
      <c r="AR72" s="255">
        <v>29</v>
      </c>
      <c r="AS72" s="256">
        <v>30</v>
      </c>
      <c r="AT72" s="257">
        <v>31</v>
      </c>
    </row>
    <row r="73" spans="2:46" s="260" customFormat="1" ht="17.25" customHeight="1" thickBot="1">
      <c r="B73" s="857"/>
      <c r="C73" s="859"/>
      <c r="D73" s="859"/>
      <c r="E73" s="261" t="s">
        <v>201</v>
      </c>
      <c r="F73" s="261" t="s">
        <v>202</v>
      </c>
      <c r="G73" s="261" t="s">
        <v>203</v>
      </c>
      <c r="H73" s="859"/>
      <c r="I73" s="864"/>
      <c r="J73" s="865"/>
      <c r="K73" s="865"/>
      <c r="L73" s="865"/>
      <c r="M73" s="865"/>
      <c r="N73" s="866"/>
      <c r="O73" s="868"/>
      <c r="P73" s="262">
        <v>2</v>
      </c>
      <c r="Q73" s="263">
        <v>2</v>
      </c>
      <c r="R73" s="263"/>
      <c r="S73" s="263">
        <v>2</v>
      </c>
      <c r="T73" s="263">
        <v>2</v>
      </c>
      <c r="U73" s="263">
        <v>2</v>
      </c>
      <c r="V73" s="263">
        <v>2</v>
      </c>
      <c r="W73" s="263">
        <v>2</v>
      </c>
      <c r="X73" s="263">
        <v>2</v>
      </c>
      <c r="Y73" s="263"/>
      <c r="Z73" s="263">
        <v>2</v>
      </c>
      <c r="AA73" s="263">
        <v>2</v>
      </c>
      <c r="AB73" s="263">
        <v>2</v>
      </c>
      <c r="AC73" s="263">
        <v>2</v>
      </c>
      <c r="AD73" s="263">
        <v>2</v>
      </c>
      <c r="AE73" s="263">
        <v>2</v>
      </c>
      <c r="AF73" s="263"/>
      <c r="AG73" s="263">
        <v>2</v>
      </c>
      <c r="AH73" s="263">
        <v>2</v>
      </c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</row>
    <row r="74" spans="2:46" s="260" customFormat="1" ht="30" customHeight="1">
      <c r="B74" s="853" t="s">
        <v>41</v>
      </c>
      <c r="C74" s="491" t="s">
        <v>223</v>
      </c>
      <c r="D74" s="490" t="s">
        <v>127</v>
      </c>
      <c r="E74" s="490" t="s">
        <v>138</v>
      </c>
      <c r="F74" s="490" t="s">
        <v>205</v>
      </c>
      <c r="G74" s="490">
        <v>50</v>
      </c>
      <c r="H74" s="490">
        <v>2000</v>
      </c>
      <c r="I74" s="888" t="s">
        <v>206</v>
      </c>
      <c r="J74" s="889"/>
      <c r="K74" s="889"/>
      <c r="L74" s="889"/>
      <c r="M74" s="889"/>
      <c r="N74" s="890"/>
      <c r="O74" s="275">
        <f t="shared" ref="O74:O77" si="3">SUM(P74:AS74)</f>
        <v>960</v>
      </c>
      <c r="P74" s="328">
        <v>240</v>
      </c>
      <c r="Q74" s="329">
        <v>240</v>
      </c>
      <c r="R74" s="329"/>
      <c r="S74" s="329">
        <v>240</v>
      </c>
      <c r="T74" s="329">
        <v>240</v>
      </c>
      <c r="U74" s="329"/>
      <c r="V74" s="329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518"/>
    </row>
    <row r="75" spans="2:46" s="260" customFormat="1" ht="30" customHeight="1">
      <c r="B75" s="840"/>
      <c r="C75" s="489"/>
      <c r="D75" s="489"/>
      <c r="E75" s="489"/>
      <c r="F75" s="489"/>
      <c r="G75" s="489"/>
      <c r="H75" s="489"/>
      <c r="I75" s="847" t="s">
        <v>207</v>
      </c>
      <c r="J75" s="848"/>
      <c r="K75" s="848"/>
      <c r="L75" s="848"/>
      <c r="M75" s="848"/>
      <c r="N75" s="849"/>
      <c r="O75" s="270">
        <f t="shared" si="3"/>
        <v>1080</v>
      </c>
      <c r="P75" s="331">
        <v>240</v>
      </c>
      <c r="Q75" s="332">
        <v>240</v>
      </c>
      <c r="R75" s="332"/>
      <c r="S75" s="332">
        <v>240</v>
      </c>
      <c r="T75" s="332">
        <v>240</v>
      </c>
      <c r="U75" s="332">
        <v>120</v>
      </c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519"/>
    </row>
    <row r="76" spans="2:46" s="280" customFormat="1" ht="30" customHeight="1">
      <c r="B76" s="839" t="s">
        <v>42</v>
      </c>
      <c r="C76" s="491" t="s">
        <v>225</v>
      </c>
      <c r="D76" s="490" t="s">
        <v>127</v>
      </c>
      <c r="E76" s="490" t="s">
        <v>138</v>
      </c>
      <c r="F76" s="490" t="s">
        <v>205</v>
      </c>
      <c r="G76" s="490">
        <v>50</v>
      </c>
      <c r="H76" s="490">
        <v>1000</v>
      </c>
      <c r="I76" s="883" t="s">
        <v>206</v>
      </c>
      <c r="J76" s="884"/>
      <c r="K76" s="884"/>
      <c r="L76" s="884"/>
      <c r="M76" s="884"/>
      <c r="N76" s="885"/>
      <c r="O76" s="275">
        <f t="shared" si="3"/>
        <v>1000</v>
      </c>
      <c r="P76" s="276"/>
      <c r="Q76" s="277"/>
      <c r="R76" s="277"/>
      <c r="S76" s="277"/>
      <c r="T76" s="277"/>
      <c r="U76" s="277">
        <v>240</v>
      </c>
      <c r="V76" s="277">
        <v>240</v>
      </c>
      <c r="W76" s="277">
        <v>240</v>
      </c>
      <c r="X76" s="277">
        <v>240</v>
      </c>
      <c r="Y76" s="277"/>
      <c r="Z76" s="277">
        <v>40</v>
      </c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520"/>
    </row>
    <row r="77" spans="2:46" s="280" customFormat="1" ht="30" customHeight="1">
      <c r="B77" s="840"/>
      <c r="C77" s="489"/>
      <c r="D77" s="489"/>
      <c r="E77" s="489"/>
      <c r="F77" s="489"/>
      <c r="G77" s="489"/>
      <c r="H77" s="489"/>
      <c r="I77" s="847" t="s">
        <v>207</v>
      </c>
      <c r="J77" s="848"/>
      <c r="K77" s="848"/>
      <c r="L77" s="848"/>
      <c r="M77" s="848"/>
      <c r="N77" s="849"/>
      <c r="O77" s="270">
        <f t="shared" si="3"/>
        <v>1000</v>
      </c>
      <c r="P77" s="331"/>
      <c r="Q77" s="332"/>
      <c r="R77" s="332"/>
      <c r="S77" s="332"/>
      <c r="T77" s="332"/>
      <c r="U77" s="332">
        <v>80</v>
      </c>
      <c r="V77" s="332">
        <v>240</v>
      </c>
      <c r="W77" s="332">
        <v>240</v>
      </c>
      <c r="X77" s="332">
        <v>240</v>
      </c>
      <c r="Y77" s="332"/>
      <c r="Z77" s="332">
        <v>200</v>
      </c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519"/>
    </row>
    <row r="78" spans="2:46" s="280" customFormat="1" ht="30" customHeight="1">
      <c r="B78" s="839" t="s">
        <v>43</v>
      </c>
      <c r="C78" s="491" t="s">
        <v>341</v>
      </c>
      <c r="D78" s="490" t="s">
        <v>127</v>
      </c>
      <c r="E78" s="490">
        <v>0</v>
      </c>
      <c r="F78" s="490" t="s">
        <v>205</v>
      </c>
      <c r="G78" s="490">
        <v>110</v>
      </c>
      <c r="H78" s="490">
        <v>1500</v>
      </c>
      <c r="I78" s="883" t="s">
        <v>206</v>
      </c>
      <c r="J78" s="884"/>
      <c r="K78" s="884"/>
      <c r="L78" s="884"/>
      <c r="M78" s="884"/>
      <c r="N78" s="885"/>
      <c r="O78" s="275">
        <f t="shared" ref="O78:O79" si="4">SUM(P78:AS78)</f>
        <v>1500</v>
      </c>
      <c r="P78" s="276"/>
      <c r="Q78" s="277"/>
      <c r="R78" s="277"/>
      <c r="S78" s="277"/>
      <c r="T78" s="277"/>
      <c r="U78" s="277"/>
      <c r="V78" s="277"/>
      <c r="W78" s="277"/>
      <c r="X78" s="277"/>
      <c r="Y78" s="277"/>
      <c r="Z78" s="277">
        <v>160</v>
      </c>
      <c r="AA78" s="277">
        <v>240</v>
      </c>
      <c r="AB78" s="277">
        <v>240</v>
      </c>
      <c r="AC78" s="277">
        <v>240</v>
      </c>
      <c r="AD78" s="277">
        <v>240</v>
      </c>
      <c r="AE78" s="277">
        <v>240</v>
      </c>
      <c r="AF78" s="277"/>
      <c r="AG78" s="277">
        <v>140</v>
      </c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520"/>
    </row>
    <row r="79" spans="2:46" s="280" customFormat="1" ht="30" customHeight="1" thickBot="1">
      <c r="B79" s="840"/>
      <c r="C79" s="489"/>
      <c r="D79" s="489"/>
      <c r="E79" s="489"/>
      <c r="F79" s="489"/>
      <c r="G79" s="489"/>
      <c r="H79" s="489"/>
      <c r="I79" s="847" t="s">
        <v>207</v>
      </c>
      <c r="J79" s="848"/>
      <c r="K79" s="848"/>
      <c r="L79" s="848"/>
      <c r="M79" s="848"/>
      <c r="N79" s="849"/>
      <c r="O79" s="270">
        <f t="shared" si="4"/>
        <v>1500</v>
      </c>
      <c r="P79" s="331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>
        <v>240</v>
      </c>
      <c r="AB79" s="332">
        <v>240</v>
      </c>
      <c r="AC79" s="332">
        <v>240</v>
      </c>
      <c r="AD79" s="332">
        <v>240</v>
      </c>
      <c r="AE79" s="332">
        <v>240</v>
      </c>
      <c r="AF79" s="332"/>
      <c r="AG79" s="332">
        <v>240</v>
      </c>
      <c r="AH79" s="332">
        <v>60</v>
      </c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519"/>
    </row>
    <row r="80" spans="2:46" s="280" customFormat="1" ht="30" hidden="1" customHeight="1">
      <c r="B80" s="839"/>
      <c r="C80" s="841"/>
      <c r="D80" s="843"/>
      <c r="E80" s="843"/>
      <c r="F80" s="843"/>
      <c r="G80" s="843"/>
      <c r="H80" s="843"/>
      <c r="I80" s="844"/>
      <c r="J80" s="845"/>
      <c r="K80" s="845"/>
      <c r="L80" s="845"/>
      <c r="M80" s="845"/>
      <c r="N80" s="846"/>
      <c r="O80" s="275"/>
      <c r="P80" s="276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520"/>
    </row>
    <row r="81" spans="2:46" s="280" customFormat="1" ht="30" hidden="1" customHeight="1">
      <c r="B81" s="840"/>
      <c r="C81" s="842"/>
      <c r="D81" s="842"/>
      <c r="E81" s="842"/>
      <c r="F81" s="842"/>
      <c r="G81" s="842"/>
      <c r="H81" s="842"/>
      <c r="I81" s="847"/>
      <c r="J81" s="848"/>
      <c r="K81" s="848"/>
      <c r="L81" s="848"/>
      <c r="M81" s="848"/>
      <c r="N81" s="849"/>
      <c r="O81" s="270"/>
      <c r="P81" s="331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519"/>
    </row>
    <row r="82" spans="2:46" s="280" customFormat="1" ht="30" hidden="1" customHeight="1">
      <c r="B82" s="839"/>
      <c r="C82" s="841"/>
      <c r="D82" s="843"/>
      <c r="E82" s="843"/>
      <c r="F82" s="843"/>
      <c r="G82" s="843"/>
      <c r="H82" s="843"/>
      <c r="I82" s="844"/>
      <c r="J82" s="845"/>
      <c r="K82" s="845"/>
      <c r="L82" s="845"/>
      <c r="M82" s="845"/>
      <c r="N82" s="846"/>
      <c r="O82" s="275"/>
      <c r="P82" s="276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520"/>
    </row>
    <row r="83" spans="2:46" s="280" customFormat="1" ht="30" hidden="1" customHeight="1">
      <c r="B83" s="840"/>
      <c r="C83" s="842"/>
      <c r="D83" s="842"/>
      <c r="E83" s="842"/>
      <c r="F83" s="842"/>
      <c r="G83" s="842"/>
      <c r="H83" s="842"/>
      <c r="I83" s="847"/>
      <c r="J83" s="848"/>
      <c r="K83" s="848"/>
      <c r="L83" s="848"/>
      <c r="M83" s="848"/>
      <c r="N83" s="849"/>
      <c r="O83" s="270"/>
      <c r="P83" s="331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519"/>
    </row>
    <row r="84" spans="2:46" s="260" customFormat="1" ht="30" hidden="1" customHeight="1">
      <c r="B84" s="288"/>
      <c r="C84" s="289"/>
      <c r="D84" s="289"/>
      <c r="E84" s="289"/>
      <c r="F84" s="289"/>
      <c r="G84" s="289"/>
      <c r="H84" s="289"/>
      <c r="I84" s="290"/>
      <c r="J84" s="290"/>
      <c r="K84" s="291"/>
      <c r="L84" s="291"/>
      <c r="M84" s="292"/>
      <c r="N84" s="293"/>
      <c r="O84" s="294"/>
      <c r="P84" s="297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298"/>
      <c r="AQ84" s="298"/>
      <c r="AR84" s="298"/>
      <c r="AS84" s="298"/>
      <c r="AT84" s="521"/>
    </row>
    <row r="85" spans="2:46" s="260" customFormat="1" ht="30" hidden="1" customHeight="1">
      <c r="B85" s="288"/>
      <c r="C85" s="289"/>
      <c r="D85" s="289"/>
      <c r="E85" s="289"/>
      <c r="F85" s="289"/>
      <c r="G85" s="289"/>
      <c r="H85" s="289"/>
      <c r="I85" s="290"/>
      <c r="J85" s="290"/>
      <c r="K85" s="291"/>
      <c r="L85" s="291"/>
      <c r="M85" s="292"/>
      <c r="N85" s="293"/>
      <c r="O85" s="294"/>
      <c r="P85" s="297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298"/>
      <c r="AQ85" s="298"/>
      <c r="AR85" s="298"/>
      <c r="AS85" s="298"/>
      <c r="AT85" s="521"/>
    </row>
    <row r="86" spans="2:46" s="260" customFormat="1" ht="30" hidden="1" customHeight="1">
      <c r="B86" s="288"/>
      <c r="C86" s="289"/>
      <c r="D86" s="289"/>
      <c r="E86" s="289"/>
      <c r="F86" s="289"/>
      <c r="G86" s="289"/>
      <c r="H86" s="289"/>
      <c r="I86" s="290"/>
      <c r="J86" s="290"/>
      <c r="K86" s="291"/>
      <c r="L86" s="291"/>
      <c r="M86" s="292"/>
      <c r="N86" s="293"/>
      <c r="O86" s="294"/>
      <c r="P86" s="29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521"/>
    </row>
    <row r="87" spans="2:46" s="260" customFormat="1" ht="30" hidden="1" customHeight="1" thickBot="1">
      <c r="B87" s="317"/>
      <c r="C87" s="318"/>
      <c r="D87" s="318"/>
      <c r="E87" s="318"/>
      <c r="F87" s="318"/>
      <c r="G87" s="318"/>
      <c r="H87" s="318"/>
      <c r="I87" s="319"/>
      <c r="J87" s="319"/>
      <c r="K87" s="320"/>
      <c r="L87" s="320"/>
      <c r="M87" s="321"/>
      <c r="N87" s="322"/>
      <c r="O87" s="323"/>
      <c r="P87" s="285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522"/>
    </row>
    <row r="88" spans="2:46" s="305" customFormat="1" ht="30" customHeight="1">
      <c r="B88" s="300"/>
      <c r="C88" s="301"/>
      <c r="D88" s="301"/>
      <c r="E88" s="302"/>
      <c r="F88" s="302"/>
      <c r="G88" s="302"/>
      <c r="H88" s="303"/>
      <c r="I88" s="850" t="s">
        <v>206</v>
      </c>
      <c r="J88" s="851"/>
      <c r="K88" s="851"/>
      <c r="L88" s="851"/>
      <c r="M88" s="851"/>
      <c r="N88" s="852"/>
      <c r="O88" s="304">
        <f>SUM(O74,O76,O78,O80,O82)</f>
        <v>3460</v>
      </c>
      <c r="P88" s="324"/>
      <c r="Q88" s="324"/>
      <c r="R88" s="324"/>
      <c r="S88" s="324"/>
      <c r="T88" s="324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24"/>
      <c r="AN88" s="324"/>
      <c r="AO88" s="324"/>
      <c r="AP88" s="324"/>
      <c r="AQ88" s="301"/>
      <c r="AR88" s="301"/>
      <c r="AS88" s="301"/>
      <c r="AT88" s="523"/>
    </row>
    <row r="89" spans="2:46" s="305" customFormat="1" ht="30" customHeight="1" thickBot="1">
      <c r="B89" s="306"/>
      <c r="C89" s="307"/>
      <c r="D89" s="307"/>
      <c r="E89" s="308"/>
      <c r="F89" s="308"/>
      <c r="G89" s="308"/>
      <c r="H89" s="309"/>
      <c r="I89" s="836" t="s">
        <v>207</v>
      </c>
      <c r="J89" s="837"/>
      <c r="K89" s="837"/>
      <c r="L89" s="837"/>
      <c r="M89" s="837"/>
      <c r="N89" s="838"/>
      <c r="O89" s="310">
        <f>SUM(O75,O77,O79,O81,O83)</f>
        <v>3580</v>
      </c>
      <c r="P89" s="326"/>
      <c r="Q89" s="326"/>
      <c r="R89" s="326"/>
      <c r="S89" s="326"/>
      <c r="T89" s="326"/>
      <c r="U89" s="334"/>
      <c r="V89" s="334"/>
      <c r="W89" s="334"/>
      <c r="X89" s="334"/>
      <c r="Y89" s="334"/>
      <c r="Z89" s="334"/>
      <c r="AA89" s="334"/>
      <c r="AB89" s="334"/>
      <c r="AC89" s="334"/>
      <c r="AD89" s="334"/>
      <c r="AE89" s="334"/>
      <c r="AF89" s="334"/>
      <c r="AG89" s="334"/>
      <c r="AH89" s="334"/>
      <c r="AI89" s="334"/>
      <c r="AJ89" s="334"/>
      <c r="AK89" s="334"/>
      <c r="AL89" s="334"/>
      <c r="AM89" s="326"/>
      <c r="AN89" s="326"/>
      <c r="AO89" s="326"/>
      <c r="AP89" s="326"/>
      <c r="AQ89" s="334"/>
      <c r="AR89" s="334"/>
      <c r="AS89" s="334"/>
      <c r="AT89" s="524"/>
    </row>
  </sheetData>
  <mergeCells count="202">
    <mergeCell ref="AP46:AR46"/>
    <mergeCell ref="AS46:AU46"/>
    <mergeCell ref="I88:N88"/>
    <mergeCell ref="V69:W69"/>
    <mergeCell ref="V49:W49"/>
    <mergeCell ref="I89:N89"/>
    <mergeCell ref="C62:C63"/>
    <mergeCell ref="D62:D63"/>
    <mergeCell ref="E62:E63"/>
    <mergeCell ref="F62:F63"/>
    <mergeCell ref="G62:G63"/>
    <mergeCell ref="H62:H63"/>
    <mergeCell ref="G80:G81"/>
    <mergeCell ref="H80:H81"/>
    <mergeCell ref="I80:N80"/>
    <mergeCell ref="I81:N81"/>
    <mergeCell ref="T32:U32"/>
    <mergeCell ref="T34:U34"/>
    <mergeCell ref="I74:N74"/>
    <mergeCell ref="I75:N75"/>
    <mergeCell ref="I66:N66"/>
    <mergeCell ref="I67:N67"/>
    <mergeCell ref="I51:J51"/>
    <mergeCell ref="N51:O51"/>
    <mergeCell ref="H31:H32"/>
    <mergeCell ref="I31:N31"/>
    <mergeCell ref="I32:N32"/>
    <mergeCell ref="I33:N33"/>
    <mergeCell ref="I34:N34"/>
    <mergeCell ref="I58:N58"/>
    <mergeCell ref="I59:N59"/>
    <mergeCell ref="I60:N60"/>
    <mergeCell ref="I61:N61"/>
    <mergeCell ref="I62:N62"/>
    <mergeCell ref="I63:N63"/>
    <mergeCell ref="B82:B83"/>
    <mergeCell ref="C82:C83"/>
    <mergeCell ref="D82:D83"/>
    <mergeCell ref="E82:E83"/>
    <mergeCell ref="F82:F83"/>
    <mergeCell ref="G82:G83"/>
    <mergeCell ref="I76:N76"/>
    <mergeCell ref="I77:N77"/>
    <mergeCell ref="B78:B79"/>
    <mergeCell ref="I78:N78"/>
    <mergeCell ref="I79:N79"/>
    <mergeCell ref="B80:B81"/>
    <mergeCell ref="C80:C81"/>
    <mergeCell ref="D80:D81"/>
    <mergeCell ref="E80:E81"/>
    <mergeCell ref="F80:F81"/>
    <mergeCell ref="H82:H83"/>
    <mergeCell ref="I82:N82"/>
    <mergeCell ref="I83:N83"/>
    <mergeCell ref="B76:B77"/>
    <mergeCell ref="B74:B75"/>
    <mergeCell ref="I71:J71"/>
    <mergeCell ref="N71:O71"/>
    <mergeCell ref="B72:B73"/>
    <mergeCell ref="C72:C73"/>
    <mergeCell ref="D72:D73"/>
    <mergeCell ref="E72:G72"/>
    <mergeCell ref="H72:H73"/>
    <mergeCell ref="I72:N73"/>
    <mergeCell ref="O72:O73"/>
    <mergeCell ref="B60:B61"/>
    <mergeCell ref="B62:B63"/>
    <mergeCell ref="B58:B59"/>
    <mergeCell ref="B56:B57"/>
    <mergeCell ref="H54:H55"/>
    <mergeCell ref="I54:N54"/>
    <mergeCell ref="I55:N55"/>
    <mergeCell ref="B54:B55"/>
    <mergeCell ref="C54:C55"/>
    <mergeCell ref="D54:D55"/>
    <mergeCell ref="E54:E55"/>
    <mergeCell ref="F54:F55"/>
    <mergeCell ref="G54:G55"/>
    <mergeCell ref="I56:N56"/>
    <mergeCell ref="I57:N57"/>
    <mergeCell ref="B52:B53"/>
    <mergeCell ref="C52:C53"/>
    <mergeCell ref="D52:D53"/>
    <mergeCell ref="E52:G52"/>
    <mergeCell ref="H52:H53"/>
    <mergeCell ref="I52:N53"/>
    <mergeCell ref="O52:O53"/>
    <mergeCell ref="H39:H40"/>
    <mergeCell ref="I39:N39"/>
    <mergeCell ref="I40:N40"/>
    <mergeCell ref="I45:N45"/>
    <mergeCell ref="I46:N46"/>
    <mergeCell ref="B39:B40"/>
    <mergeCell ref="C39:C40"/>
    <mergeCell ref="D39:D40"/>
    <mergeCell ref="E39:E40"/>
    <mergeCell ref="F39:F40"/>
    <mergeCell ref="G39:G40"/>
    <mergeCell ref="B37:B38"/>
    <mergeCell ref="C37:C38"/>
    <mergeCell ref="D37:D38"/>
    <mergeCell ref="E37:E38"/>
    <mergeCell ref="F37:F38"/>
    <mergeCell ref="G37:G38"/>
    <mergeCell ref="H37:H38"/>
    <mergeCell ref="I37:N37"/>
    <mergeCell ref="I38:N38"/>
    <mergeCell ref="B35:B36"/>
    <mergeCell ref="C35:C36"/>
    <mergeCell ref="D35:D36"/>
    <mergeCell ref="E35:E36"/>
    <mergeCell ref="F35:F36"/>
    <mergeCell ref="G35:G36"/>
    <mergeCell ref="H35:H36"/>
    <mergeCell ref="I35:N35"/>
    <mergeCell ref="I36:N36"/>
    <mergeCell ref="I28:J28"/>
    <mergeCell ref="N28:O28"/>
    <mergeCell ref="B29:B30"/>
    <mergeCell ref="C29:C30"/>
    <mergeCell ref="D29:D30"/>
    <mergeCell ref="E29:G29"/>
    <mergeCell ref="H29:H30"/>
    <mergeCell ref="I29:N30"/>
    <mergeCell ref="O29:O30"/>
    <mergeCell ref="B33:B34"/>
    <mergeCell ref="C33:C34"/>
    <mergeCell ref="D33:D34"/>
    <mergeCell ref="E33:E34"/>
    <mergeCell ref="F33:F34"/>
    <mergeCell ref="G33:G34"/>
    <mergeCell ref="H33:H34"/>
    <mergeCell ref="B31:B32"/>
    <mergeCell ref="C31:C32"/>
    <mergeCell ref="D31:D32"/>
    <mergeCell ref="E31:E32"/>
    <mergeCell ref="F31:F32"/>
    <mergeCell ref="G31:G32"/>
    <mergeCell ref="AI22:AM22"/>
    <mergeCell ref="AN22:AQ22"/>
    <mergeCell ref="I23:N23"/>
    <mergeCell ref="AI23:AL23"/>
    <mergeCell ref="AI24:AL24"/>
    <mergeCell ref="V26:W26"/>
    <mergeCell ref="H16:H17"/>
    <mergeCell ref="I16:N16"/>
    <mergeCell ref="I17:N17"/>
    <mergeCell ref="I22:N22"/>
    <mergeCell ref="AA22:AD22"/>
    <mergeCell ref="AE22:AH22"/>
    <mergeCell ref="B12:B13"/>
    <mergeCell ref="C12:C13"/>
    <mergeCell ref="D12:D13"/>
    <mergeCell ref="E12:E13"/>
    <mergeCell ref="F12:F13"/>
    <mergeCell ref="G12:G13"/>
    <mergeCell ref="H12:H13"/>
    <mergeCell ref="I12:N12"/>
    <mergeCell ref="B16:B17"/>
    <mergeCell ref="C16:C17"/>
    <mergeCell ref="D16:D17"/>
    <mergeCell ref="E16:E17"/>
    <mergeCell ref="F16:F17"/>
    <mergeCell ref="G16:G17"/>
    <mergeCell ref="I13:N13"/>
    <mergeCell ref="B14:B15"/>
    <mergeCell ref="C14:C15"/>
    <mergeCell ref="D14:D15"/>
    <mergeCell ref="E14:E15"/>
    <mergeCell ref="F14:F15"/>
    <mergeCell ref="G14:G15"/>
    <mergeCell ref="H14:H15"/>
    <mergeCell ref="I14:N14"/>
    <mergeCell ref="I15:N15"/>
    <mergeCell ref="H8:H9"/>
    <mergeCell ref="I8:N8"/>
    <mergeCell ref="I9:N9"/>
    <mergeCell ref="B10:B11"/>
    <mergeCell ref="C10:C11"/>
    <mergeCell ref="D10:D11"/>
    <mergeCell ref="E10:E11"/>
    <mergeCell ref="F10:F11"/>
    <mergeCell ref="G10:G11"/>
    <mergeCell ref="H10:H11"/>
    <mergeCell ref="B8:B9"/>
    <mergeCell ref="C8:C9"/>
    <mergeCell ref="D8:D9"/>
    <mergeCell ref="E8:E9"/>
    <mergeCell ref="F8:F9"/>
    <mergeCell ref="G8:G9"/>
    <mergeCell ref="I10:N10"/>
    <mergeCell ref="I11:N11"/>
    <mergeCell ref="V3:W3"/>
    <mergeCell ref="I5:J5"/>
    <mergeCell ref="N5:O5"/>
    <mergeCell ref="B6:B7"/>
    <mergeCell ref="C6:C7"/>
    <mergeCell ref="D6:D7"/>
    <mergeCell ref="E6:G6"/>
    <mergeCell ref="H6:H7"/>
    <mergeCell ref="I6:N7"/>
    <mergeCell ref="O6:O7"/>
  </mergeCells>
  <conditionalFormatting sqref="P32:T32 P34:T34 P35:AT44 P31:AT31 P33:AT33">
    <cfRule type="cellIs" dxfId="56" priority="17" operator="greaterThan">
      <formula>0</formula>
    </cfRule>
  </conditionalFormatting>
  <conditionalFormatting sqref="P32:T32">
    <cfRule type="cellIs" dxfId="55" priority="16" operator="greaterThan">
      <formula>0</formula>
    </cfRule>
  </conditionalFormatting>
  <conditionalFormatting sqref="P34:T34">
    <cfRule type="cellIs" dxfId="54" priority="15" operator="greaterThan">
      <formula>0</formula>
    </cfRule>
  </conditionalFormatting>
  <conditionalFormatting sqref="P8:AQ13 P16:AQ21 V32:AT32 V34:AT34 P54:AS65">
    <cfRule type="cellIs" dxfId="53" priority="19" operator="greaterThan">
      <formula>0</formula>
    </cfRule>
  </conditionalFormatting>
  <conditionalFormatting sqref="P9:AQ9 P11:AQ11 P13:AQ13 P17:AQ17 V32:AT32 V34:AT34 P55:AS55 P57:AS57 P59:AS59 P61:AS61 P63:AS63">
    <cfRule type="cellIs" dxfId="52" priority="18" operator="greaterThan">
      <formula>0</formula>
    </cfRule>
  </conditionalFormatting>
  <conditionalFormatting sqref="P14:AQ15">
    <cfRule type="cellIs" dxfId="51" priority="9" operator="greaterThan">
      <formula>0</formula>
    </cfRule>
  </conditionalFormatting>
  <conditionalFormatting sqref="P15:AQ15">
    <cfRule type="cellIs" dxfId="50" priority="8" operator="greaterThan">
      <formula>0</formula>
    </cfRule>
  </conditionalFormatting>
  <conditionalFormatting sqref="P36:AT36">
    <cfRule type="cellIs" dxfId="49" priority="3" operator="greaterThan">
      <formula>0</formula>
    </cfRule>
  </conditionalFormatting>
  <conditionalFormatting sqref="P38:AT38">
    <cfRule type="cellIs" dxfId="48" priority="13" operator="greaterThan">
      <formula>0</formula>
    </cfRule>
  </conditionalFormatting>
  <conditionalFormatting sqref="P40:AT40">
    <cfRule type="cellIs" dxfId="47" priority="5" operator="greaterThan">
      <formula>0</formula>
    </cfRule>
  </conditionalFormatting>
  <conditionalFormatting sqref="P74:AT75 P78:AT87">
    <cfRule type="cellIs" dxfId="46" priority="7" operator="greaterThan">
      <formula>0</formula>
    </cfRule>
  </conditionalFormatting>
  <conditionalFormatting sqref="P75:AT75 P79:AT79 P81:AT81 P83:AT83">
    <cfRule type="cellIs" dxfId="45" priority="6" operator="greaterThan">
      <formula>0</formula>
    </cfRule>
  </conditionalFormatting>
  <conditionalFormatting sqref="P76:AT77">
    <cfRule type="cellIs" dxfId="44" priority="2" operator="greaterThan">
      <formula>0</formula>
    </cfRule>
  </conditionalFormatting>
  <conditionalFormatting sqref="P77:AT77">
    <cfRule type="cellIs" dxfId="43" priority="1" operator="greaterThan">
      <formula>0</formula>
    </cfRule>
  </conditionalFormatting>
  <pageMargins left="0" right="0" top="0" bottom="0" header="0.31496062992125984" footer="0.31496062992125984"/>
  <pageSetup scale="45" orientation="landscape" horizontalDpi="360" verticalDpi="36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  <pageSetUpPr fitToPage="1"/>
  </sheetPr>
  <dimension ref="B1:AV89"/>
  <sheetViews>
    <sheetView topLeftCell="A24" zoomScale="85" zoomScaleNormal="85" zoomScaleSheetLayoutView="70" workbookViewId="0">
      <pane xSplit="15" topLeftCell="P1" activePane="topRight" state="frozen"/>
      <selection pane="topRight" activeCell="N69" sqref="N69"/>
    </sheetView>
  </sheetViews>
  <sheetFormatPr defaultColWidth="6.08203125" defaultRowHeight="18" customHeight="1"/>
  <cols>
    <col min="1" max="1" width="0.9140625" style="245" customWidth="1"/>
    <col min="2" max="2" width="2.6640625" style="245" customWidth="1"/>
    <col min="3" max="3" width="8.4140625" style="245" customWidth="1"/>
    <col min="4" max="4" width="8.6640625" style="245" customWidth="1"/>
    <col min="5" max="5" width="7.25" style="245" customWidth="1"/>
    <col min="6" max="6" width="9.75" style="245" hidden="1" customWidth="1"/>
    <col min="7" max="7" width="3.75" style="245" customWidth="1"/>
    <col min="8" max="8" width="5.25" style="245" customWidth="1"/>
    <col min="9" max="13" width="3.5" style="245" customWidth="1"/>
    <col min="14" max="14" width="6.1640625" style="245" customWidth="1"/>
    <col min="15" max="15" width="5.9140625" style="245" customWidth="1"/>
    <col min="16" max="46" width="3.4140625" style="245" customWidth="1"/>
    <col min="47" max="47" width="2.1640625" style="245" customWidth="1"/>
    <col min="48" max="48" width="7.58203125" style="245" customWidth="1"/>
    <col min="49" max="16384" width="6.08203125" style="245"/>
  </cols>
  <sheetData>
    <row r="1" spans="2:48" ht="9.9499999999999993" customHeight="1"/>
    <row r="2" spans="2:48" ht="18" customHeight="1">
      <c r="D2" s="246" t="s">
        <v>192</v>
      </c>
    </row>
    <row r="3" spans="2:48" ht="18" customHeight="1">
      <c r="D3" s="247" t="s">
        <v>193</v>
      </c>
      <c r="V3" s="869"/>
      <c r="W3" s="869"/>
    </row>
    <row r="4" spans="2:48" ht="5.25" customHeight="1"/>
    <row r="5" spans="2:48" s="248" customFormat="1" ht="16.5" customHeight="1" thickBot="1">
      <c r="E5" s="249" t="s">
        <v>194</v>
      </c>
      <c r="F5" s="250">
        <f>I5-N5</f>
        <v>7</v>
      </c>
      <c r="G5" s="251"/>
      <c r="H5" s="249" t="s">
        <v>195</v>
      </c>
      <c r="I5" s="854">
        <v>20</v>
      </c>
      <c r="J5" s="854"/>
      <c r="K5" s="252"/>
      <c r="M5" s="249" t="s">
        <v>196</v>
      </c>
      <c r="N5" s="855">
        <f>COUNT(P7:AP7)</f>
        <v>13</v>
      </c>
      <c r="O5" s="855"/>
      <c r="P5" s="253" t="s">
        <v>119</v>
      </c>
      <c r="Q5" s="253" t="s">
        <v>120</v>
      </c>
      <c r="R5" s="253" t="s">
        <v>121</v>
      </c>
      <c r="S5" s="253" t="s">
        <v>122</v>
      </c>
      <c r="T5" s="253" t="s">
        <v>121</v>
      </c>
      <c r="U5" s="253" t="s">
        <v>123</v>
      </c>
      <c r="V5" s="253" t="s">
        <v>119</v>
      </c>
      <c r="W5" s="253" t="s">
        <v>119</v>
      </c>
      <c r="X5" s="253" t="s">
        <v>120</v>
      </c>
      <c r="Y5" s="253" t="s">
        <v>121</v>
      </c>
      <c r="Z5" s="253" t="s">
        <v>122</v>
      </c>
      <c r="AA5" s="253" t="s">
        <v>121</v>
      </c>
      <c r="AB5" s="253" t="s">
        <v>123</v>
      </c>
      <c r="AC5" s="253" t="s">
        <v>119</v>
      </c>
      <c r="AD5" s="253" t="s">
        <v>119</v>
      </c>
      <c r="AE5" s="253" t="s">
        <v>120</v>
      </c>
      <c r="AF5" s="253" t="s">
        <v>121</v>
      </c>
      <c r="AG5" s="253" t="s">
        <v>122</v>
      </c>
      <c r="AH5" s="253" t="s">
        <v>121</v>
      </c>
      <c r="AI5" s="253" t="s">
        <v>123</v>
      </c>
      <c r="AJ5" s="253" t="s">
        <v>119</v>
      </c>
      <c r="AK5" s="253" t="s">
        <v>119</v>
      </c>
      <c r="AL5" s="253" t="s">
        <v>120</v>
      </c>
      <c r="AM5" s="253" t="s">
        <v>121</v>
      </c>
      <c r="AN5" s="253" t="s">
        <v>122</v>
      </c>
      <c r="AO5" s="253" t="s">
        <v>121</v>
      </c>
      <c r="AP5" s="253" t="s">
        <v>123</v>
      </c>
      <c r="AQ5" s="253" t="s">
        <v>119</v>
      </c>
      <c r="AR5" s="245"/>
      <c r="AS5" s="245"/>
      <c r="AT5" s="245"/>
    </row>
    <row r="6" spans="2:48" s="260" customFormat="1" ht="18" customHeight="1" thickBot="1">
      <c r="B6" s="856" t="s">
        <v>115</v>
      </c>
      <c r="C6" s="858" t="s">
        <v>117</v>
      </c>
      <c r="D6" s="858" t="s">
        <v>116</v>
      </c>
      <c r="E6" s="858" t="s">
        <v>197</v>
      </c>
      <c r="F6" s="858"/>
      <c r="G6" s="858"/>
      <c r="H6" s="860" t="s">
        <v>198</v>
      </c>
      <c r="I6" s="861" t="s">
        <v>199</v>
      </c>
      <c r="J6" s="862"/>
      <c r="K6" s="862"/>
      <c r="L6" s="862"/>
      <c r="M6" s="862"/>
      <c r="N6" s="863"/>
      <c r="O6" s="867" t="s">
        <v>200</v>
      </c>
      <c r="P6" s="254">
        <v>1</v>
      </c>
      <c r="Q6" s="255">
        <v>2</v>
      </c>
      <c r="R6" s="255">
        <v>3</v>
      </c>
      <c r="S6" s="255">
        <v>4</v>
      </c>
      <c r="T6" s="255">
        <v>5</v>
      </c>
      <c r="U6" s="255">
        <v>6</v>
      </c>
      <c r="V6" s="256">
        <v>7</v>
      </c>
      <c r="W6" s="257">
        <v>8</v>
      </c>
      <c r="X6" s="255">
        <v>9</v>
      </c>
      <c r="Y6" s="255">
        <v>10</v>
      </c>
      <c r="Z6" s="255">
        <v>11</v>
      </c>
      <c r="AA6" s="255">
        <v>12</v>
      </c>
      <c r="AB6" s="255">
        <v>13</v>
      </c>
      <c r="AC6" s="256">
        <v>14</v>
      </c>
      <c r="AD6" s="257">
        <v>15</v>
      </c>
      <c r="AE6" s="258">
        <v>16</v>
      </c>
      <c r="AF6" s="257">
        <v>17</v>
      </c>
      <c r="AG6" s="255">
        <v>18</v>
      </c>
      <c r="AH6" s="255">
        <v>19</v>
      </c>
      <c r="AI6" s="255">
        <v>20</v>
      </c>
      <c r="AJ6" s="256">
        <v>21</v>
      </c>
      <c r="AK6" s="257">
        <v>22</v>
      </c>
      <c r="AL6" s="255">
        <v>23</v>
      </c>
      <c r="AM6" s="255">
        <v>24</v>
      </c>
      <c r="AN6" s="255">
        <v>25</v>
      </c>
      <c r="AO6" s="255">
        <v>26</v>
      </c>
      <c r="AP6" s="255">
        <v>27</v>
      </c>
      <c r="AQ6" s="259">
        <v>28</v>
      </c>
      <c r="AR6" s="245"/>
      <c r="AS6" s="245"/>
      <c r="AT6" s="245"/>
    </row>
    <row r="7" spans="2:48" s="260" customFormat="1" ht="17.25" customHeight="1" thickBot="1">
      <c r="B7" s="857"/>
      <c r="C7" s="859"/>
      <c r="D7" s="859"/>
      <c r="E7" s="261" t="s">
        <v>201</v>
      </c>
      <c r="F7" s="261" t="s">
        <v>202</v>
      </c>
      <c r="G7" s="261" t="s">
        <v>203</v>
      </c>
      <c r="H7" s="859"/>
      <c r="I7" s="864"/>
      <c r="J7" s="865"/>
      <c r="K7" s="865"/>
      <c r="L7" s="865"/>
      <c r="M7" s="865"/>
      <c r="N7" s="866"/>
      <c r="O7" s="868"/>
      <c r="P7" s="262"/>
      <c r="Q7" s="263"/>
      <c r="R7" s="263"/>
      <c r="S7" s="263"/>
      <c r="T7" s="263"/>
      <c r="U7" s="263"/>
      <c r="V7" s="263"/>
      <c r="W7" s="263"/>
      <c r="X7" s="263">
        <v>2</v>
      </c>
      <c r="Y7" s="263">
        <v>2</v>
      </c>
      <c r="Z7" s="263">
        <v>2</v>
      </c>
      <c r="AA7" s="263">
        <v>2</v>
      </c>
      <c r="AB7" s="263">
        <v>2</v>
      </c>
      <c r="AC7" s="263">
        <v>2</v>
      </c>
      <c r="AD7" s="263"/>
      <c r="AE7" s="263">
        <v>2</v>
      </c>
      <c r="AF7" s="263">
        <v>2</v>
      </c>
      <c r="AG7" s="263">
        <v>2</v>
      </c>
      <c r="AH7" s="263">
        <v>2</v>
      </c>
      <c r="AI7" s="263">
        <v>1</v>
      </c>
      <c r="AJ7" s="263"/>
      <c r="AK7" s="263"/>
      <c r="AL7" s="263"/>
      <c r="AM7" s="263"/>
      <c r="AN7" s="263"/>
      <c r="AO7" s="263">
        <v>2</v>
      </c>
      <c r="AP7" s="263">
        <v>2</v>
      </c>
      <c r="AQ7" s="264">
        <v>2</v>
      </c>
      <c r="AR7" s="245"/>
      <c r="AS7" s="245"/>
      <c r="AT7" s="245"/>
    </row>
    <row r="8" spans="2:48" s="260" customFormat="1" ht="30" customHeight="1">
      <c r="B8" s="853" t="s">
        <v>41</v>
      </c>
      <c r="C8" s="882" t="s">
        <v>256</v>
      </c>
      <c r="D8" s="882" t="s">
        <v>127</v>
      </c>
      <c r="E8" s="882" t="s">
        <v>204</v>
      </c>
      <c r="F8" s="882" t="s">
        <v>205</v>
      </c>
      <c r="G8" s="882">
        <v>35</v>
      </c>
      <c r="H8" s="882">
        <v>1000</v>
      </c>
      <c r="I8" s="844" t="s">
        <v>206</v>
      </c>
      <c r="J8" s="845"/>
      <c r="K8" s="845"/>
      <c r="L8" s="845"/>
      <c r="M8" s="845"/>
      <c r="N8" s="846"/>
      <c r="O8" s="265">
        <f>SUM(P8:AP8)</f>
        <v>450</v>
      </c>
      <c r="P8" s="266"/>
      <c r="Q8" s="267"/>
      <c r="R8" s="267"/>
      <c r="S8" s="267"/>
      <c r="T8" s="267"/>
      <c r="U8" s="267">
        <v>150</v>
      </c>
      <c r="V8" s="267"/>
      <c r="W8" s="267"/>
      <c r="X8" s="267">
        <v>160</v>
      </c>
      <c r="Y8" s="267">
        <v>140</v>
      </c>
      <c r="Z8" s="267"/>
      <c r="AA8" s="267"/>
      <c r="AB8" s="267"/>
      <c r="AC8" s="267"/>
      <c r="AD8" s="268"/>
      <c r="AE8" s="268"/>
      <c r="AF8" s="268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9"/>
    </row>
    <row r="9" spans="2:48" s="260" customFormat="1" ht="30" customHeight="1">
      <c r="B9" s="840"/>
      <c r="C9" s="842"/>
      <c r="D9" s="842"/>
      <c r="E9" s="842"/>
      <c r="F9" s="842"/>
      <c r="G9" s="842"/>
      <c r="H9" s="842"/>
      <c r="I9" s="847" t="s">
        <v>207</v>
      </c>
      <c r="J9" s="848"/>
      <c r="K9" s="848"/>
      <c r="L9" s="848"/>
      <c r="M9" s="848"/>
      <c r="N9" s="849"/>
      <c r="O9" s="270">
        <f>SUM(P9:AQ9)</f>
        <v>460</v>
      </c>
      <c r="P9" s="271"/>
      <c r="Q9" s="272"/>
      <c r="R9" s="272"/>
      <c r="S9" s="272"/>
      <c r="T9" s="272"/>
      <c r="U9" s="272"/>
      <c r="V9" s="272"/>
      <c r="W9" s="272"/>
      <c r="X9" s="272">
        <v>240</v>
      </c>
      <c r="Y9" s="272">
        <v>220</v>
      </c>
      <c r="Z9" s="272"/>
      <c r="AA9" s="272"/>
      <c r="AB9" s="272"/>
      <c r="AC9" s="272"/>
      <c r="AD9" s="273"/>
      <c r="AE9" s="273"/>
      <c r="AF9" s="273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4"/>
    </row>
    <row r="10" spans="2:48" s="280" customFormat="1" ht="30" customHeight="1">
      <c r="B10" s="839" t="s">
        <v>42</v>
      </c>
      <c r="C10" s="843" t="s">
        <v>257</v>
      </c>
      <c r="D10" s="843" t="s">
        <v>127</v>
      </c>
      <c r="E10" s="843" t="s">
        <v>138</v>
      </c>
      <c r="F10" s="843" t="s">
        <v>208</v>
      </c>
      <c r="G10" s="843">
        <v>50</v>
      </c>
      <c r="H10" s="843">
        <v>1000</v>
      </c>
      <c r="I10" s="844" t="s">
        <v>206</v>
      </c>
      <c r="J10" s="845"/>
      <c r="K10" s="845"/>
      <c r="L10" s="845"/>
      <c r="M10" s="845"/>
      <c r="N10" s="846"/>
      <c r="O10" s="275">
        <f>SUM(P10:AP10)</f>
        <v>1000</v>
      </c>
      <c r="P10" s="276"/>
      <c r="Q10" s="277"/>
      <c r="R10" s="277"/>
      <c r="S10" s="277"/>
      <c r="T10" s="277"/>
      <c r="U10" s="277"/>
      <c r="V10" s="277"/>
      <c r="W10" s="277"/>
      <c r="X10" s="277"/>
      <c r="Y10" s="277">
        <v>80</v>
      </c>
      <c r="Z10" s="277">
        <v>240</v>
      </c>
      <c r="AA10" s="277">
        <v>240</v>
      </c>
      <c r="AB10" s="277">
        <v>240</v>
      </c>
      <c r="AC10" s="277">
        <v>200</v>
      </c>
      <c r="AD10" s="278"/>
      <c r="AE10" s="278"/>
      <c r="AF10" s="278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9"/>
    </row>
    <row r="11" spans="2:48" s="280" customFormat="1" ht="30" customHeight="1">
      <c r="B11" s="840"/>
      <c r="C11" s="842"/>
      <c r="D11" s="842"/>
      <c r="E11" s="842"/>
      <c r="F11" s="842"/>
      <c r="G11" s="842"/>
      <c r="H11" s="842"/>
      <c r="I11" s="847" t="s">
        <v>207</v>
      </c>
      <c r="J11" s="848"/>
      <c r="K11" s="848"/>
      <c r="L11" s="848"/>
      <c r="M11" s="848"/>
      <c r="N11" s="849"/>
      <c r="O11" s="270">
        <f>SUM(P11:AQ11)</f>
        <v>960</v>
      </c>
      <c r="P11" s="271"/>
      <c r="Q11" s="272"/>
      <c r="R11" s="272"/>
      <c r="S11" s="272"/>
      <c r="T11" s="272"/>
      <c r="U11" s="272"/>
      <c r="V11" s="272"/>
      <c r="W11" s="272"/>
      <c r="X11" s="272"/>
      <c r="Y11" s="272">
        <v>60</v>
      </c>
      <c r="Z11" s="272">
        <v>240</v>
      </c>
      <c r="AA11" s="272">
        <v>240</v>
      </c>
      <c r="AB11" s="272">
        <v>240</v>
      </c>
      <c r="AC11" s="272">
        <v>180</v>
      </c>
      <c r="AD11" s="273"/>
      <c r="AE11" s="273"/>
      <c r="AF11" s="273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4"/>
    </row>
    <row r="12" spans="2:48" s="280" customFormat="1" ht="30" customHeight="1">
      <c r="B12" s="839" t="s">
        <v>44</v>
      </c>
      <c r="C12" s="843" t="s">
        <v>258</v>
      </c>
      <c r="D12" s="843" t="s">
        <v>127</v>
      </c>
      <c r="E12" s="843" t="s">
        <v>204</v>
      </c>
      <c r="F12" s="843" t="s">
        <v>205</v>
      </c>
      <c r="G12" s="843">
        <v>35</v>
      </c>
      <c r="H12" s="843">
        <v>500</v>
      </c>
      <c r="I12" s="844" t="s">
        <v>206</v>
      </c>
      <c r="J12" s="845"/>
      <c r="K12" s="845"/>
      <c r="L12" s="845"/>
      <c r="M12" s="845"/>
      <c r="N12" s="846"/>
      <c r="O12" s="275">
        <f>SUM(P12:AQ12)</f>
        <v>500</v>
      </c>
      <c r="P12" s="276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8"/>
      <c r="AE12" s="278"/>
      <c r="AF12" s="278"/>
      <c r="AG12" s="277">
        <v>180</v>
      </c>
      <c r="AH12" s="277">
        <v>240</v>
      </c>
      <c r="AI12" s="277">
        <v>80</v>
      </c>
      <c r="AJ12" s="277"/>
      <c r="AK12" s="277"/>
      <c r="AL12" s="277"/>
      <c r="AM12" s="277"/>
      <c r="AN12" s="277"/>
      <c r="AO12" s="277"/>
      <c r="AP12" s="277"/>
      <c r="AQ12" s="279"/>
    </row>
    <row r="13" spans="2:48" s="280" customFormat="1" ht="30" customHeight="1" thickBot="1">
      <c r="B13" s="840"/>
      <c r="C13" s="842"/>
      <c r="D13" s="842"/>
      <c r="E13" s="842"/>
      <c r="F13" s="842"/>
      <c r="G13" s="842"/>
      <c r="H13" s="842"/>
      <c r="I13" s="847" t="s">
        <v>207</v>
      </c>
      <c r="J13" s="848"/>
      <c r="K13" s="848"/>
      <c r="L13" s="848"/>
      <c r="M13" s="848"/>
      <c r="N13" s="849"/>
      <c r="O13" s="270">
        <f>SUM(P13:AQ13)</f>
        <v>320</v>
      </c>
      <c r="P13" s="271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3"/>
      <c r="AE13" s="273"/>
      <c r="AF13" s="273"/>
      <c r="AG13" s="272">
        <v>60</v>
      </c>
      <c r="AH13" s="272">
        <v>140</v>
      </c>
      <c r="AI13" s="272">
        <v>120</v>
      </c>
      <c r="AJ13" s="272"/>
      <c r="AK13" s="272"/>
      <c r="AL13" s="272"/>
      <c r="AM13" s="272"/>
      <c r="AN13" s="272"/>
      <c r="AO13" s="272"/>
      <c r="AP13" s="272"/>
      <c r="AQ13" s="274"/>
    </row>
    <row r="14" spans="2:48" s="260" customFormat="1" ht="30" customHeight="1">
      <c r="B14" s="853" t="s">
        <v>255</v>
      </c>
      <c r="C14" s="843" t="s">
        <v>259</v>
      </c>
      <c r="D14" s="843" t="s">
        <v>127</v>
      </c>
      <c r="E14" s="843" t="s">
        <v>204</v>
      </c>
      <c r="F14" s="843" t="s">
        <v>205</v>
      </c>
      <c r="G14" s="843">
        <v>35</v>
      </c>
      <c r="H14" s="843">
        <v>1500</v>
      </c>
      <c r="I14" s="844" t="s">
        <v>206</v>
      </c>
      <c r="J14" s="845"/>
      <c r="K14" s="845"/>
      <c r="L14" s="845"/>
      <c r="M14" s="845"/>
      <c r="N14" s="846"/>
      <c r="O14" s="275">
        <f>SUM(P14:AQ14)</f>
        <v>0</v>
      </c>
      <c r="P14" s="281"/>
      <c r="Q14" s="277"/>
      <c r="R14" s="277"/>
      <c r="S14" s="277"/>
      <c r="T14" s="277"/>
      <c r="U14" s="277"/>
      <c r="V14" s="282"/>
      <c r="W14" s="282"/>
      <c r="X14" s="282"/>
      <c r="Y14" s="282"/>
      <c r="Z14" s="282"/>
      <c r="AA14" s="282"/>
      <c r="AB14" s="282"/>
      <c r="AC14" s="282"/>
      <c r="AD14" s="283"/>
      <c r="AE14" s="283"/>
      <c r="AF14" s="283"/>
      <c r="AG14" s="282"/>
      <c r="AH14" s="282"/>
      <c r="AI14" s="282"/>
      <c r="AJ14" s="282"/>
      <c r="AK14" s="282"/>
      <c r="AL14" s="277"/>
      <c r="AM14" s="277"/>
      <c r="AN14" s="277"/>
      <c r="AO14" s="277"/>
      <c r="AP14" s="277"/>
      <c r="AQ14" s="279"/>
      <c r="AR14" s="280"/>
      <c r="AS14" s="280"/>
      <c r="AT14" s="280"/>
      <c r="AU14" s="280"/>
      <c r="AV14" s="280"/>
    </row>
    <row r="15" spans="2:48" s="260" customFormat="1" ht="30" customHeight="1" thickBot="1">
      <c r="B15" s="840"/>
      <c r="C15" s="842"/>
      <c r="D15" s="842"/>
      <c r="E15" s="842"/>
      <c r="F15" s="842"/>
      <c r="G15" s="842"/>
      <c r="H15" s="842"/>
      <c r="I15" s="847" t="s">
        <v>207</v>
      </c>
      <c r="J15" s="848"/>
      <c r="K15" s="848"/>
      <c r="L15" s="848"/>
      <c r="M15" s="848"/>
      <c r="N15" s="849"/>
      <c r="O15" s="270">
        <f>SUM(P15:AQ15)</f>
        <v>0</v>
      </c>
      <c r="P15" s="271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3"/>
      <c r="AE15" s="273"/>
      <c r="AF15" s="273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4"/>
      <c r="AR15" s="280"/>
      <c r="AS15" s="280"/>
      <c r="AT15" s="280"/>
      <c r="AU15" s="280"/>
      <c r="AV15" s="280"/>
    </row>
    <row r="16" spans="2:48" s="280" customFormat="1" ht="18" hidden="1" customHeight="1">
      <c r="B16" s="839" t="s">
        <v>45</v>
      </c>
      <c r="C16" s="843" t="s">
        <v>209</v>
      </c>
      <c r="D16" s="843" t="s">
        <v>127</v>
      </c>
      <c r="E16" s="843" t="s">
        <v>138</v>
      </c>
      <c r="F16" s="843" t="s">
        <v>205</v>
      </c>
      <c r="G16" s="843">
        <v>50</v>
      </c>
      <c r="H16" s="843">
        <v>1000</v>
      </c>
      <c r="I16" s="875" t="s">
        <v>206</v>
      </c>
      <c r="J16" s="876"/>
      <c r="K16" s="876"/>
      <c r="L16" s="876"/>
      <c r="M16" s="876"/>
      <c r="N16" s="877"/>
      <c r="O16" s="284">
        <f>SUM(P16:AP16)</f>
        <v>0</v>
      </c>
      <c r="P16" s="276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9"/>
    </row>
    <row r="17" spans="2:47" s="280" customFormat="1" ht="18" hidden="1" customHeight="1" thickBot="1">
      <c r="B17" s="840"/>
      <c r="C17" s="842"/>
      <c r="D17" s="842"/>
      <c r="E17" s="842"/>
      <c r="F17" s="842"/>
      <c r="G17" s="842"/>
      <c r="H17" s="842"/>
      <c r="I17" s="878" t="s">
        <v>207</v>
      </c>
      <c r="J17" s="879"/>
      <c r="K17" s="879"/>
      <c r="L17" s="879"/>
      <c r="M17" s="879"/>
      <c r="N17" s="880"/>
      <c r="O17" s="270">
        <f>SUM(P17:AQ17)</f>
        <v>0</v>
      </c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7"/>
    </row>
    <row r="18" spans="2:47" s="260" customFormat="1" ht="18.75" hidden="1" customHeight="1">
      <c r="B18" s="288"/>
      <c r="C18" s="289"/>
      <c r="D18" s="289"/>
      <c r="E18" s="289"/>
      <c r="F18" s="289"/>
      <c r="G18" s="289"/>
      <c r="H18" s="289"/>
      <c r="I18" s="290"/>
      <c r="J18" s="290"/>
      <c r="K18" s="291"/>
      <c r="L18" s="291"/>
      <c r="M18" s="292"/>
      <c r="N18" s="293"/>
      <c r="O18" s="294"/>
      <c r="P18" s="281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95"/>
      <c r="AR18" s="296"/>
    </row>
    <row r="19" spans="2:47" s="260" customFormat="1" ht="18.75" hidden="1" customHeight="1">
      <c r="B19" s="288"/>
      <c r="C19" s="289"/>
      <c r="D19" s="289"/>
      <c r="E19" s="289"/>
      <c r="F19" s="289"/>
      <c r="G19" s="289"/>
      <c r="H19" s="289"/>
      <c r="I19" s="290"/>
      <c r="J19" s="290"/>
      <c r="K19" s="291"/>
      <c r="L19" s="291"/>
      <c r="M19" s="292"/>
      <c r="N19" s="293"/>
      <c r="O19" s="294"/>
      <c r="P19" s="297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9"/>
      <c r="AR19" s="296"/>
    </row>
    <row r="20" spans="2:47" s="260" customFormat="1" ht="18.75" hidden="1" customHeight="1">
      <c r="B20" s="288"/>
      <c r="C20" s="289"/>
      <c r="D20" s="289"/>
      <c r="E20" s="289"/>
      <c r="F20" s="289"/>
      <c r="G20" s="289"/>
      <c r="H20" s="289"/>
      <c r="I20" s="290"/>
      <c r="J20" s="290"/>
      <c r="K20" s="291"/>
      <c r="L20" s="291"/>
      <c r="M20" s="292"/>
      <c r="N20" s="293"/>
      <c r="O20" s="294"/>
      <c r="P20" s="297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9"/>
      <c r="AR20" s="296"/>
    </row>
    <row r="21" spans="2:47" s="260" customFormat="1" ht="18.75" hidden="1" customHeight="1" thickBot="1">
      <c r="B21" s="288"/>
      <c r="C21" s="289"/>
      <c r="D21" s="289"/>
      <c r="E21" s="289"/>
      <c r="F21" s="289"/>
      <c r="G21" s="289"/>
      <c r="H21" s="289"/>
      <c r="I21" s="290"/>
      <c r="J21" s="290"/>
      <c r="K21" s="291"/>
      <c r="L21" s="291"/>
      <c r="M21" s="292"/>
      <c r="N21" s="293"/>
      <c r="O21" s="294"/>
      <c r="P21" s="285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7"/>
      <c r="AR21" s="296"/>
    </row>
    <row r="22" spans="2:47" s="305" customFormat="1" ht="30" customHeight="1">
      <c r="B22" s="300"/>
      <c r="C22" s="301"/>
      <c r="D22" s="301"/>
      <c r="E22" s="302"/>
      <c r="F22" s="302"/>
      <c r="G22" s="302"/>
      <c r="H22" s="303"/>
      <c r="I22" s="850" t="s">
        <v>206</v>
      </c>
      <c r="J22" s="851"/>
      <c r="K22" s="851"/>
      <c r="L22" s="851"/>
      <c r="M22" s="851"/>
      <c r="N22" s="852"/>
      <c r="O22" s="304">
        <f>SUM(O8,O10,O12,O14)</f>
        <v>1950</v>
      </c>
      <c r="P22" s="473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870" t="s">
        <v>210</v>
      </c>
      <c r="AB22" s="870"/>
      <c r="AC22" s="870"/>
      <c r="AD22" s="870"/>
      <c r="AE22" s="870" t="s">
        <v>211</v>
      </c>
      <c r="AF22" s="870"/>
      <c r="AG22" s="870"/>
      <c r="AH22" s="870"/>
      <c r="AI22" s="870" t="s">
        <v>212</v>
      </c>
      <c r="AJ22" s="870"/>
      <c r="AK22" s="870"/>
      <c r="AL22" s="870"/>
      <c r="AM22" s="870"/>
      <c r="AN22" s="870" t="s">
        <v>217</v>
      </c>
      <c r="AO22" s="870"/>
      <c r="AP22" s="870"/>
      <c r="AQ22" s="871"/>
    </row>
    <row r="23" spans="2:47" s="305" customFormat="1" ht="30" customHeight="1" thickBot="1">
      <c r="B23" s="306"/>
      <c r="C23" s="307"/>
      <c r="D23" s="307"/>
      <c r="E23" s="308"/>
      <c r="F23" s="308"/>
      <c r="G23" s="308"/>
      <c r="H23" s="309"/>
      <c r="I23" s="836" t="s">
        <v>207</v>
      </c>
      <c r="J23" s="837"/>
      <c r="K23" s="837"/>
      <c r="L23" s="837"/>
      <c r="M23" s="837"/>
      <c r="N23" s="838"/>
      <c r="O23" s="310">
        <f>SUM(O9,O11,O13,O15)</f>
        <v>1740</v>
      </c>
      <c r="P23" s="306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11"/>
      <c r="AB23" s="311" t="s">
        <v>213</v>
      </c>
      <c r="AC23" s="311"/>
      <c r="AD23" s="311"/>
      <c r="AE23" s="311"/>
      <c r="AF23" s="311" t="s">
        <v>214</v>
      </c>
      <c r="AG23" s="311"/>
      <c r="AH23" s="311"/>
      <c r="AI23" s="881" t="s">
        <v>228</v>
      </c>
      <c r="AJ23" s="881"/>
      <c r="AK23" s="881"/>
      <c r="AL23" s="881"/>
      <c r="AM23" s="311"/>
      <c r="AN23" s="493"/>
      <c r="AO23" s="493" t="s">
        <v>230</v>
      </c>
      <c r="AP23" s="493"/>
      <c r="AQ23" s="492" t="s">
        <v>231</v>
      </c>
    </row>
    <row r="24" spans="2:47" ht="16.5" customHeight="1">
      <c r="AI24" s="872" t="s">
        <v>211</v>
      </c>
      <c r="AJ24" s="873"/>
      <c r="AK24" s="873"/>
      <c r="AL24" s="874"/>
      <c r="AN24" s="305"/>
      <c r="AO24" s="305"/>
      <c r="AP24" s="305"/>
      <c r="AQ24" s="305"/>
    </row>
    <row r="25" spans="2:47" ht="18" customHeight="1" thickBot="1">
      <c r="D25" s="246" t="s">
        <v>216</v>
      </c>
      <c r="AI25" s="471"/>
      <c r="AJ25" s="311" t="s">
        <v>229</v>
      </c>
      <c r="AK25" s="311"/>
      <c r="AL25" s="472" t="s">
        <v>215</v>
      </c>
      <c r="AN25" s="305"/>
      <c r="AO25" s="305"/>
      <c r="AP25" s="305"/>
      <c r="AQ25" s="305"/>
    </row>
    <row r="26" spans="2:47" ht="18" customHeight="1">
      <c r="D26" s="247" t="s">
        <v>193</v>
      </c>
      <c r="AR26" s="305"/>
      <c r="AS26" s="305"/>
      <c r="AT26" s="305"/>
      <c r="AU26" s="305"/>
    </row>
    <row r="27" spans="2:47" ht="5.25" customHeight="1"/>
    <row r="28" spans="2:47" s="248" customFormat="1" ht="16.5" customHeight="1" thickBot="1">
      <c r="E28" s="249" t="s">
        <v>194</v>
      </c>
      <c r="F28" s="250">
        <f>I28-N28</f>
        <v>1</v>
      </c>
      <c r="G28" s="251"/>
      <c r="H28" s="249" t="s">
        <v>195</v>
      </c>
      <c r="I28" s="854">
        <v>19</v>
      </c>
      <c r="J28" s="854"/>
      <c r="K28" s="252"/>
      <c r="M28" s="249" t="s">
        <v>196</v>
      </c>
      <c r="N28" s="855">
        <f>COUNT(P30:AT30)</f>
        <v>18</v>
      </c>
      <c r="O28" s="855"/>
      <c r="P28" s="253" t="s">
        <v>119</v>
      </c>
      <c r="Q28" s="253" t="s">
        <v>120</v>
      </c>
      <c r="R28" s="253" t="s">
        <v>121</v>
      </c>
      <c r="S28" s="253" t="s">
        <v>122</v>
      </c>
      <c r="T28" s="253" t="s">
        <v>121</v>
      </c>
      <c r="U28" s="253" t="s">
        <v>123</v>
      </c>
      <c r="V28" s="253" t="s">
        <v>119</v>
      </c>
      <c r="W28" s="253" t="s">
        <v>119</v>
      </c>
      <c r="X28" s="253" t="s">
        <v>120</v>
      </c>
      <c r="Y28" s="253" t="s">
        <v>121</v>
      </c>
      <c r="Z28" s="253" t="s">
        <v>122</v>
      </c>
      <c r="AA28" s="253" t="s">
        <v>121</v>
      </c>
      <c r="AB28" s="253" t="s">
        <v>123</v>
      </c>
      <c r="AC28" s="253" t="s">
        <v>119</v>
      </c>
      <c r="AD28" s="253" t="s">
        <v>119</v>
      </c>
      <c r="AE28" s="253" t="s">
        <v>120</v>
      </c>
      <c r="AF28" s="253" t="s">
        <v>121</v>
      </c>
      <c r="AG28" s="253" t="s">
        <v>122</v>
      </c>
      <c r="AH28" s="253" t="s">
        <v>121</v>
      </c>
      <c r="AI28" s="253" t="s">
        <v>123</v>
      </c>
      <c r="AJ28" s="253" t="s">
        <v>119</v>
      </c>
      <c r="AK28" s="253" t="s">
        <v>119</v>
      </c>
      <c r="AL28" s="253" t="s">
        <v>120</v>
      </c>
      <c r="AM28" s="253" t="s">
        <v>121</v>
      </c>
      <c r="AN28" s="253" t="s">
        <v>122</v>
      </c>
      <c r="AO28" s="253" t="s">
        <v>121</v>
      </c>
      <c r="AP28" s="253" t="s">
        <v>123</v>
      </c>
      <c r="AQ28" s="253" t="s">
        <v>119</v>
      </c>
      <c r="AR28" s="253" t="s">
        <v>119</v>
      </c>
      <c r="AS28" s="253" t="s">
        <v>120</v>
      </c>
      <c r="AT28" s="253" t="s">
        <v>121</v>
      </c>
    </row>
    <row r="29" spans="2:47" s="260" customFormat="1" ht="18" customHeight="1" thickBot="1">
      <c r="B29" s="856" t="s">
        <v>115</v>
      </c>
      <c r="C29" s="858" t="s">
        <v>117</v>
      </c>
      <c r="D29" s="858" t="s">
        <v>116</v>
      </c>
      <c r="E29" s="858" t="s">
        <v>197</v>
      </c>
      <c r="F29" s="858"/>
      <c r="G29" s="858"/>
      <c r="H29" s="860" t="s">
        <v>198</v>
      </c>
      <c r="I29" s="861" t="s">
        <v>199</v>
      </c>
      <c r="J29" s="862"/>
      <c r="K29" s="862"/>
      <c r="L29" s="862"/>
      <c r="M29" s="862"/>
      <c r="N29" s="863"/>
      <c r="O29" s="867" t="s">
        <v>200</v>
      </c>
      <c r="P29" s="254">
        <v>1</v>
      </c>
      <c r="Q29" s="255">
        <v>2</v>
      </c>
      <c r="R29" s="255">
        <v>3</v>
      </c>
      <c r="S29" s="255">
        <v>4</v>
      </c>
      <c r="T29" s="255">
        <v>5</v>
      </c>
      <c r="U29" s="255">
        <v>6</v>
      </c>
      <c r="V29" s="256">
        <v>7</v>
      </c>
      <c r="W29" s="257">
        <v>8</v>
      </c>
      <c r="X29" s="255">
        <v>9</v>
      </c>
      <c r="Y29" s="255">
        <v>10</v>
      </c>
      <c r="Z29" s="255">
        <v>11</v>
      </c>
      <c r="AA29" s="255">
        <v>12</v>
      </c>
      <c r="AB29" s="255">
        <v>13</v>
      </c>
      <c r="AC29" s="256">
        <v>14</v>
      </c>
      <c r="AD29" s="257">
        <v>15</v>
      </c>
      <c r="AE29" s="255">
        <v>16</v>
      </c>
      <c r="AF29" s="673">
        <v>17</v>
      </c>
      <c r="AG29" s="255">
        <v>18</v>
      </c>
      <c r="AH29" s="255">
        <v>19</v>
      </c>
      <c r="AI29" s="258">
        <v>20</v>
      </c>
      <c r="AJ29" s="256">
        <v>21</v>
      </c>
      <c r="AK29" s="257">
        <v>22</v>
      </c>
      <c r="AL29" s="258">
        <v>23</v>
      </c>
      <c r="AM29" s="258">
        <v>24</v>
      </c>
      <c r="AN29" s="255">
        <v>25</v>
      </c>
      <c r="AO29" s="255">
        <v>26</v>
      </c>
      <c r="AP29" s="255">
        <v>27</v>
      </c>
      <c r="AQ29" s="256">
        <v>28</v>
      </c>
      <c r="AR29" s="257">
        <v>29</v>
      </c>
      <c r="AS29" s="255">
        <v>30</v>
      </c>
      <c r="AT29" s="312">
        <v>31</v>
      </c>
      <c r="AU29" s="296"/>
    </row>
    <row r="30" spans="2:47" s="260" customFormat="1" ht="17.25" customHeight="1" thickBot="1">
      <c r="B30" s="857"/>
      <c r="C30" s="859"/>
      <c r="D30" s="859"/>
      <c r="E30" s="261" t="s">
        <v>201</v>
      </c>
      <c r="F30" s="261" t="s">
        <v>202</v>
      </c>
      <c r="G30" s="261" t="s">
        <v>203</v>
      </c>
      <c r="H30" s="859"/>
      <c r="I30" s="864"/>
      <c r="J30" s="865"/>
      <c r="K30" s="865"/>
      <c r="L30" s="865"/>
      <c r="M30" s="865"/>
      <c r="N30" s="866"/>
      <c r="O30" s="868"/>
      <c r="P30" s="262"/>
      <c r="Q30" s="263"/>
      <c r="R30" s="263"/>
      <c r="S30" s="263"/>
      <c r="T30" s="263">
        <v>1</v>
      </c>
      <c r="U30" s="263">
        <v>2</v>
      </c>
      <c r="V30" s="263">
        <v>2</v>
      </c>
      <c r="W30" s="263">
        <v>2</v>
      </c>
      <c r="X30" s="263">
        <v>2</v>
      </c>
      <c r="Y30" s="263">
        <v>2</v>
      </c>
      <c r="Z30" s="263">
        <v>2</v>
      </c>
      <c r="AA30" s="263">
        <v>2</v>
      </c>
      <c r="AB30" s="263">
        <v>2</v>
      </c>
      <c r="AC30" s="263">
        <v>2</v>
      </c>
      <c r="AD30" s="263">
        <v>2</v>
      </c>
      <c r="AE30" s="263">
        <v>1</v>
      </c>
      <c r="AF30" s="263"/>
      <c r="AG30" s="263"/>
      <c r="AH30" s="263"/>
      <c r="AI30" s="263"/>
      <c r="AJ30" s="263"/>
      <c r="AK30" s="263"/>
      <c r="AL30" s="263"/>
      <c r="AM30" s="263"/>
      <c r="AN30" s="263">
        <v>2</v>
      </c>
      <c r="AO30" s="263">
        <v>2</v>
      </c>
      <c r="AP30" s="263">
        <v>2</v>
      </c>
      <c r="AQ30" s="263">
        <v>2</v>
      </c>
      <c r="AR30" s="263"/>
      <c r="AS30" s="263">
        <v>2</v>
      </c>
      <c r="AT30" s="263">
        <v>2</v>
      </c>
      <c r="AU30" s="296"/>
    </row>
    <row r="31" spans="2:47" s="260" customFormat="1" ht="30" customHeight="1">
      <c r="B31" s="853" t="s">
        <v>41</v>
      </c>
      <c r="C31" s="843" t="s">
        <v>257</v>
      </c>
      <c r="D31" s="843" t="s">
        <v>127</v>
      </c>
      <c r="E31" s="843" t="s">
        <v>138</v>
      </c>
      <c r="F31" s="843" t="s">
        <v>208</v>
      </c>
      <c r="G31" s="843">
        <v>50</v>
      </c>
      <c r="H31" s="843">
        <v>1000</v>
      </c>
      <c r="I31" s="844" t="s">
        <v>206</v>
      </c>
      <c r="J31" s="845"/>
      <c r="K31" s="845"/>
      <c r="L31" s="845"/>
      <c r="M31" s="845"/>
      <c r="N31" s="846"/>
      <c r="O31" s="275">
        <f>SUM(P31:AP31)</f>
        <v>0</v>
      </c>
      <c r="P31" s="266"/>
      <c r="Q31" s="282"/>
      <c r="R31" s="282"/>
      <c r="S31" s="282"/>
      <c r="T31" s="282"/>
      <c r="U31" s="282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8"/>
      <c r="AH31" s="268"/>
      <c r="AI31" s="268"/>
      <c r="AJ31" s="268"/>
      <c r="AK31" s="268"/>
      <c r="AL31" s="268"/>
      <c r="AM31" s="268"/>
      <c r="AN31" s="267"/>
      <c r="AO31" s="267"/>
      <c r="AP31" s="267"/>
      <c r="AQ31" s="267"/>
      <c r="AR31" s="267"/>
      <c r="AS31" s="267"/>
      <c r="AT31" s="269"/>
      <c r="AU31" s="296"/>
    </row>
    <row r="32" spans="2:47" s="260" customFormat="1" ht="30" customHeight="1">
      <c r="B32" s="840"/>
      <c r="C32" s="842"/>
      <c r="D32" s="842"/>
      <c r="E32" s="842"/>
      <c r="F32" s="842"/>
      <c r="G32" s="842"/>
      <c r="H32" s="842"/>
      <c r="I32" s="847" t="s">
        <v>207</v>
      </c>
      <c r="J32" s="848"/>
      <c r="K32" s="848"/>
      <c r="L32" s="848"/>
      <c r="M32" s="848"/>
      <c r="N32" s="849"/>
      <c r="O32" s="270">
        <f>SUM(P32:AQ32)</f>
        <v>40</v>
      </c>
      <c r="P32" s="271"/>
      <c r="Q32" s="272"/>
      <c r="R32" s="272"/>
      <c r="S32" s="272"/>
      <c r="T32" s="886">
        <v>40</v>
      </c>
      <c r="U32" s="887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3"/>
      <c r="AH32" s="273"/>
      <c r="AI32" s="273"/>
      <c r="AJ32" s="273"/>
      <c r="AK32" s="273"/>
      <c r="AL32" s="273"/>
      <c r="AM32" s="273"/>
      <c r="AN32" s="272"/>
      <c r="AO32" s="272"/>
      <c r="AP32" s="272"/>
      <c r="AQ32" s="272"/>
      <c r="AR32" s="272"/>
      <c r="AS32" s="272"/>
      <c r="AT32" s="274"/>
      <c r="AU32" s="296"/>
    </row>
    <row r="33" spans="2:47" s="280" customFormat="1" ht="30" customHeight="1">
      <c r="B33" s="839" t="s">
        <v>42</v>
      </c>
      <c r="C33" s="843" t="s">
        <v>258</v>
      </c>
      <c r="D33" s="843" t="s">
        <v>127</v>
      </c>
      <c r="E33" s="843" t="s">
        <v>204</v>
      </c>
      <c r="F33" s="843" t="s">
        <v>205</v>
      </c>
      <c r="G33" s="843">
        <v>35</v>
      </c>
      <c r="H33" s="843">
        <v>500</v>
      </c>
      <c r="I33" s="844" t="s">
        <v>206</v>
      </c>
      <c r="J33" s="845"/>
      <c r="K33" s="845"/>
      <c r="L33" s="845"/>
      <c r="M33" s="845"/>
      <c r="N33" s="846"/>
      <c r="O33" s="275">
        <f t="shared" ref="O33:O40" si="0">SUM(P33:AT33)</f>
        <v>0</v>
      </c>
      <c r="P33" s="281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3"/>
      <c r="AI33" s="283"/>
      <c r="AJ33" s="283"/>
      <c r="AK33" s="283"/>
      <c r="AL33" s="283"/>
      <c r="AM33" s="283"/>
      <c r="AN33" s="282"/>
      <c r="AO33" s="282"/>
      <c r="AP33" s="282"/>
      <c r="AQ33" s="282"/>
      <c r="AR33" s="282"/>
      <c r="AS33" s="282"/>
      <c r="AT33" s="295"/>
      <c r="AU33" s="313"/>
    </row>
    <row r="34" spans="2:47" s="280" customFormat="1" ht="30" customHeight="1">
      <c r="B34" s="840"/>
      <c r="C34" s="842"/>
      <c r="D34" s="842"/>
      <c r="E34" s="842"/>
      <c r="F34" s="842"/>
      <c r="G34" s="842"/>
      <c r="H34" s="842"/>
      <c r="I34" s="847" t="s">
        <v>207</v>
      </c>
      <c r="J34" s="848"/>
      <c r="K34" s="848"/>
      <c r="L34" s="848"/>
      <c r="M34" s="848"/>
      <c r="N34" s="849"/>
      <c r="O34" s="270">
        <f t="shared" si="0"/>
        <v>180</v>
      </c>
      <c r="P34" s="271"/>
      <c r="Q34" s="272"/>
      <c r="R34" s="272"/>
      <c r="S34" s="272"/>
      <c r="T34" s="886">
        <v>180</v>
      </c>
      <c r="U34" s="887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3"/>
      <c r="AH34" s="273"/>
      <c r="AI34" s="273"/>
      <c r="AJ34" s="273"/>
      <c r="AK34" s="273"/>
      <c r="AL34" s="273"/>
      <c r="AM34" s="273"/>
      <c r="AN34" s="272"/>
      <c r="AO34" s="272"/>
      <c r="AP34" s="272"/>
      <c r="AQ34" s="272"/>
      <c r="AR34" s="272"/>
      <c r="AS34" s="272"/>
      <c r="AT34" s="274"/>
      <c r="AU34" s="313"/>
    </row>
    <row r="35" spans="2:47" s="280" customFormat="1" ht="30" customHeight="1">
      <c r="B35" s="839" t="s">
        <v>43</v>
      </c>
      <c r="C35" s="843" t="s">
        <v>259</v>
      </c>
      <c r="D35" s="843" t="s">
        <v>127</v>
      </c>
      <c r="E35" s="843" t="s">
        <v>204</v>
      </c>
      <c r="F35" s="843" t="s">
        <v>205</v>
      </c>
      <c r="G35" s="843">
        <v>35</v>
      </c>
      <c r="H35" s="843">
        <v>1500</v>
      </c>
      <c r="I35" s="844" t="s">
        <v>206</v>
      </c>
      <c r="J35" s="845"/>
      <c r="K35" s="845"/>
      <c r="L35" s="845"/>
      <c r="M35" s="845"/>
      <c r="N35" s="846"/>
      <c r="O35" s="275">
        <f>SUM(P35:AT35)</f>
        <v>1500</v>
      </c>
      <c r="P35" s="281"/>
      <c r="Q35" s="282"/>
      <c r="R35" s="282"/>
      <c r="S35" s="282"/>
      <c r="T35" s="282"/>
      <c r="U35" s="282"/>
      <c r="V35" s="282">
        <v>240</v>
      </c>
      <c r="W35" s="282">
        <v>300</v>
      </c>
      <c r="X35" s="282">
        <v>140</v>
      </c>
      <c r="Y35" s="282">
        <v>300</v>
      </c>
      <c r="Z35" s="282">
        <v>300</v>
      </c>
      <c r="AA35" s="282">
        <v>220</v>
      </c>
      <c r="AB35" s="282"/>
      <c r="AC35" s="282"/>
      <c r="AD35" s="282"/>
      <c r="AE35" s="282"/>
      <c r="AF35" s="282"/>
      <c r="AG35" s="283"/>
      <c r="AH35" s="283"/>
      <c r="AI35" s="283"/>
      <c r="AJ35" s="283"/>
      <c r="AK35" s="283"/>
      <c r="AL35" s="283"/>
      <c r="AM35" s="283"/>
      <c r="AN35" s="282"/>
      <c r="AO35" s="282"/>
      <c r="AP35" s="282"/>
      <c r="AQ35" s="282"/>
      <c r="AR35" s="282"/>
      <c r="AS35" s="282"/>
      <c r="AT35" s="295"/>
      <c r="AU35" s="313"/>
    </row>
    <row r="36" spans="2:47" s="280" customFormat="1" ht="30" customHeight="1">
      <c r="B36" s="840"/>
      <c r="C36" s="842"/>
      <c r="D36" s="842"/>
      <c r="E36" s="842"/>
      <c r="F36" s="842"/>
      <c r="G36" s="842"/>
      <c r="H36" s="842"/>
      <c r="I36" s="847" t="s">
        <v>207</v>
      </c>
      <c r="J36" s="848"/>
      <c r="K36" s="848"/>
      <c r="L36" s="848"/>
      <c r="M36" s="848"/>
      <c r="N36" s="849"/>
      <c r="O36" s="270">
        <f>SUM(P36:AT36)</f>
        <v>1500</v>
      </c>
      <c r="P36" s="271"/>
      <c r="Q36" s="272"/>
      <c r="R36" s="272"/>
      <c r="S36" s="272"/>
      <c r="T36" s="272"/>
      <c r="U36" s="272"/>
      <c r="V36" s="272">
        <v>240</v>
      </c>
      <c r="W36" s="272">
        <v>300</v>
      </c>
      <c r="X36" s="272"/>
      <c r="Y36" s="272"/>
      <c r="Z36" s="272"/>
      <c r="AA36" s="272"/>
      <c r="AB36" s="272"/>
      <c r="AC36" s="272">
        <v>400</v>
      </c>
      <c r="AD36" s="272">
        <v>500</v>
      </c>
      <c r="AE36" s="272"/>
      <c r="AF36" s="272"/>
      <c r="AG36" s="273"/>
      <c r="AH36" s="273"/>
      <c r="AI36" s="273"/>
      <c r="AJ36" s="273"/>
      <c r="AK36" s="273"/>
      <c r="AL36" s="273"/>
      <c r="AM36" s="273"/>
      <c r="AN36" s="272">
        <v>60</v>
      </c>
      <c r="AO36" s="272"/>
      <c r="AP36" s="272"/>
      <c r="AQ36" s="272"/>
      <c r="AR36" s="272"/>
      <c r="AS36" s="272"/>
      <c r="AT36" s="274"/>
      <c r="AU36" s="313"/>
    </row>
    <row r="37" spans="2:47" s="280" customFormat="1" ht="30.75" customHeight="1">
      <c r="B37" s="839" t="s">
        <v>44</v>
      </c>
      <c r="C37" s="841" t="s">
        <v>260</v>
      </c>
      <c r="D37" s="843" t="s">
        <v>127</v>
      </c>
      <c r="E37" s="843" t="s">
        <v>138</v>
      </c>
      <c r="F37" s="843" t="s">
        <v>208</v>
      </c>
      <c r="G37" s="843">
        <v>50</v>
      </c>
      <c r="H37" s="843">
        <v>1000</v>
      </c>
      <c r="I37" s="844" t="s">
        <v>206</v>
      </c>
      <c r="J37" s="845"/>
      <c r="K37" s="845"/>
      <c r="L37" s="845"/>
      <c r="M37" s="845"/>
      <c r="N37" s="846"/>
      <c r="O37" s="275">
        <f>SUM(P37:AT37)</f>
        <v>1000</v>
      </c>
      <c r="P37" s="478"/>
      <c r="Q37" s="475"/>
      <c r="R37" s="475"/>
      <c r="S37" s="475"/>
      <c r="T37" s="475"/>
      <c r="U37" s="475"/>
      <c r="V37" s="475"/>
      <c r="W37" s="475"/>
      <c r="X37" s="475">
        <v>140</v>
      </c>
      <c r="Y37" s="475"/>
      <c r="Z37" s="475"/>
      <c r="AA37" s="475"/>
      <c r="AB37" s="475">
        <v>240</v>
      </c>
      <c r="AC37" s="475">
        <v>120</v>
      </c>
      <c r="AD37" s="475"/>
      <c r="AE37" s="475"/>
      <c r="AF37" s="475"/>
      <c r="AG37" s="476"/>
      <c r="AH37" s="476"/>
      <c r="AI37" s="476"/>
      <c r="AJ37" s="476"/>
      <c r="AK37" s="476"/>
      <c r="AL37" s="476"/>
      <c r="AM37" s="476"/>
      <c r="AN37" s="475">
        <v>200</v>
      </c>
      <c r="AO37" s="475">
        <v>240</v>
      </c>
      <c r="AP37" s="475">
        <v>60</v>
      </c>
      <c r="AQ37" s="475"/>
      <c r="AR37" s="475"/>
      <c r="AS37" s="475"/>
      <c r="AT37" s="477"/>
      <c r="AU37" s="313"/>
    </row>
    <row r="38" spans="2:47" s="280" customFormat="1" ht="30.75" customHeight="1">
      <c r="B38" s="840"/>
      <c r="C38" s="842"/>
      <c r="D38" s="842"/>
      <c r="E38" s="842"/>
      <c r="F38" s="842"/>
      <c r="G38" s="842"/>
      <c r="H38" s="842"/>
      <c r="I38" s="847" t="s">
        <v>207</v>
      </c>
      <c r="J38" s="848"/>
      <c r="K38" s="848"/>
      <c r="L38" s="848"/>
      <c r="M38" s="848"/>
      <c r="N38" s="849"/>
      <c r="O38" s="270">
        <f>SUM(P38:AT38)</f>
        <v>1000</v>
      </c>
      <c r="P38" s="271"/>
      <c r="Q38" s="272"/>
      <c r="R38" s="272"/>
      <c r="S38" s="272"/>
      <c r="T38" s="272"/>
      <c r="U38" s="272"/>
      <c r="V38" s="272"/>
      <c r="W38" s="272"/>
      <c r="X38" s="272">
        <v>140</v>
      </c>
      <c r="Y38" s="272"/>
      <c r="Z38" s="272"/>
      <c r="AA38" s="272"/>
      <c r="AB38" s="272"/>
      <c r="AC38" s="272"/>
      <c r="AD38" s="272">
        <v>360</v>
      </c>
      <c r="AE38" s="272"/>
      <c r="AF38" s="272"/>
      <c r="AG38" s="273"/>
      <c r="AH38" s="273"/>
      <c r="AI38" s="273"/>
      <c r="AJ38" s="273"/>
      <c r="AK38" s="273"/>
      <c r="AL38" s="273"/>
      <c r="AM38" s="273"/>
      <c r="AN38" s="272">
        <v>80</v>
      </c>
      <c r="AO38" s="272">
        <v>280</v>
      </c>
      <c r="AP38" s="272">
        <v>140</v>
      </c>
      <c r="AQ38" s="272"/>
      <c r="AR38" s="272"/>
      <c r="AS38" s="272"/>
      <c r="AT38" s="274"/>
      <c r="AU38" s="313"/>
    </row>
    <row r="39" spans="2:47" s="280" customFormat="1" ht="30.75" customHeight="1">
      <c r="B39" s="839" t="s">
        <v>45</v>
      </c>
      <c r="C39" s="843" t="s">
        <v>261</v>
      </c>
      <c r="D39" s="843" t="s">
        <v>127</v>
      </c>
      <c r="E39" s="843" t="s">
        <v>136</v>
      </c>
      <c r="F39" s="843" t="s">
        <v>205</v>
      </c>
      <c r="G39" s="843">
        <v>35</v>
      </c>
      <c r="H39" s="843">
        <v>2000</v>
      </c>
      <c r="I39" s="844" t="s">
        <v>206</v>
      </c>
      <c r="J39" s="845"/>
      <c r="K39" s="845"/>
      <c r="L39" s="845"/>
      <c r="M39" s="845"/>
      <c r="N39" s="846"/>
      <c r="O39" s="275">
        <f>SUM(P39:AT39)</f>
        <v>1240</v>
      </c>
      <c r="P39" s="314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>
        <v>120</v>
      </c>
      <c r="AF39" s="277"/>
      <c r="AG39" s="283"/>
      <c r="AH39" s="283"/>
      <c r="AI39" s="283"/>
      <c r="AJ39" s="283"/>
      <c r="AK39" s="283"/>
      <c r="AL39" s="283"/>
      <c r="AM39" s="283"/>
      <c r="AN39" s="277"/>
      <c r="AO39" s="277"/>
      <c r="AP39" s="277">
        <v>280</v>
      </c>
      <c r="AQ39" s="277">
        <v>280</v>
      </c>
      <c r="AR39" s="277"/>
      <c r="AS39" s="277">
        <v>280</v>
      </c>
      <c r="AT39" s="279">
        <v>280</v>
      </c>
      <c r="AU39" s="313"/>
    </row>
    <row r="40" spans="2:47" s="280" customFormat="1" ht="30.75" customHeight="1" thickBot="1">
      <c r="B40" s="840"/>
      <c r="C40" s="842"/>
      <c r="D40" s="842"/>
      <c r="E40" s="842"/>
      <c r="F40" s="842"/>
      <c r="G40" s="842"/>
      <c r="H40" s="842"/>
      <c r="I40" s="847" t="s">
        <v>207</v>
      </c>
      <c r="J40" s="848"/>
      <c r="K40" s="848"/>
      <c r="L40" s="848"/>
      <c r="M40" s="848"/>
      <c r="N40" s="849"/>
      <c r="O40" s="270">
        <f t="shared" si="0"/>
        <v>1060</v>
      </c>
      <c r="P40" s="315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>
        <v>80</v>
      </c>
      <c r="AF40" s="298"/>
      <c r="AG40" s="273"/>
      <c r="AH40" s="273"/>
      <c r="AI40" s="273"/>
      <c r="AJ40" s="273"/>
      <c r="AK40" s="273"/>
      <c r="AL40" s="273"/>
      <c r="AM40" s="273"/>
      <c r="AN40" s="298"/>
      <c r="AO40" s="298"/>
      <c r="AP40" s="298">
        <v>140</v>
      </c>
      <c r="AQ40" s="298">
        <v>280</v>
      </c>
      <c r="AR40" s="298"/>
      <c r="AS40" s="298">
        <v>280</v>
      </c>
      <c r="AT40" s="299">
        <v>280</v>
      </c>
      <c r="AU40" s="313"/>
    </row>
    <row r="41" spans="2:47" s="260" customFormat="1" ht="18.75" hidden="1" customHeight="1">
      <c r="B41" s="288"/>
      <c r="C41" s="289"/>
      <c r="D41" s="289"/>
      <c r="E41" s="289"/>
      <c r="F41" s="289"/>
      <c r="G41" s="289"/>
      <c r="H41" s="289"/>
      <c r="I41" s="290"/>
      <c r="J41" s="290"/>
      <c r="K41" s="291"/>
      <c r="L41" s="291"/>
      <c r="M41" s="292"/>
      <c r="N41" s="293"/>
      <c r="O41" s="294"/>
      <c r="P41" s="297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9"/>
      <c r="AU41" s="296"/>
    </row>
    <row r="42" spans="2:47" s="260" customFormat="1" ht="18.75" hidden="1" customHeight="1">
      <c r="B42" s="288"/>
      <c r="C42" s="289"/>
      <c r="D42" s="289"/>
      <c r="E42" s="289"/>
      <c r="F42" s="289"/>
      <c r="G42" s="289"/>
      <c r="H42" s="289"/>
      <c r="I42" s="290"/>
      <c r="J42" s="290"/>
      <c r="K42" s="291"/>
      <c r="L42" s="291"/>
      <c r="M42" s="292"/>
      <c r="N42" s="293"/>
      <c r="O42" s="294"/>
      <c r="P42" s="297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9"/>
      <c r="AU42" s="296"/>
    </row>
    <row r="43" spans="2:47" s="260" customFormat="1" ht="18.75" hidden="1" customHeight="1">
      <c r="B43" s="288"/>
      <c r="C43" s="289"/>
      <c r="D43" s="289"/>
      <c r="E43" s="289"/>
      <c r="F43" s="289"/>
      <c r="G43" s="289"/>
      <c r="H43" s="289"/>
      <c r="I43" s="290"/>
      <c r="J43" s="290"/>
      <c r="K43" s="291"/>
      <c r="L43" s="291"/>
      <c r="M43" s="292"/>
      <c r="N43" s="293"/>
      <c r="O43" s="294"/>
      <c r="P43" s="297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9"/>
      <c r="AU43" s="296"/>
    </row>
    <row r="44" spans="2:47" s="260" customFormat="1" ht="18.75" hidden="1" customHeight="1" thickBot="1">
      <c r="B44" s="317"/>
      <c r="C44" s="318"/>
      <c r="D44" s="318"/>
      <c r="E44" s="318"/>
      <c r="F44" s="318"/>
      <c r="G44" s="318"/>
      <c r="H44" s="318"/>
      <c r="I44" s="319"/>
      <c r="J44" s="319"/>
      <c r="K44" s="320"/>
      <c r="L44" s="320"/>
      <c r="M44" s="321"/>
      <c r="N44" s="322"/>
      <c r="O44" s="323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7"/>
      <c r="AU44" s="296"/>
    </row>
    <row r="45" spans="2:47" s="305" customFormat="1" ht="30" customHeight="1">
      <c r="B45" s="300"/>
      <c r="C45" s="301"/>
      <c r="D45" s="301"/>
      <c r="E45" s="302"/>
      <c r="F45" s="302"/>
      <c r="G45" s="302"/>
      <c r="H45" s="303"/>
      <c r="I45" s="850" t="s">
        <v>206</v>
      </c>
      <c r="J45" s="851"/>
      <c r="K45" s="851"/>
      <c r="L45" s="851"/>
      <c r="M45" s="851"/>
      <c r="N45" s="852"/>
      <c r="O45" s="304">
        <f>SUM(O31,O33,O35,O37)</f>
        <v>2500</v>
      </c>
      <c r="P45" s="324"/>
      <c r="Q45" s="324"/>
      <c r="R45" s="324"/>
      <c r="S45" s="324"/>
      <c r="T45" s="324"/>
      <c r="U45" s="324"/>
      <c r="V45" s="585" t="s">
        <v>217</v>
      </c>
      <c r="W45" s="585"/>
      <c r="X45" s="585"/>
      <c r="Y45" s="585" t="s">
        <v>217</v>
      </c>
      <c r="Z45" s="585"/>
      <c r="AA45" s="585"/>
      <c r="AB45" s="585" t="s">
        <v>286</v>
      </c>
      <c r="AC45" s="585"/>
      <c r="AD45" s="585"/>
      <c r="AE45" s="585"/>
      <c r="AF45" s="585" t="s">
        <v>344</v>
      </c>
      <c r="AG45" s="585"/>
      <c r="AH45" s="585"/>
      <c r="AI45" s="324"/>
      <c r="AJ45" s="324"/>
      <c r="AK45" s="324"/>
      <c r="AL45" s="324"/>
      <c r="AM45" s="324"/>
      <c r="AN45" s="324"/>
      <c r="AO45" s="324"/>
      <c r="AP45" s="585" t="s">
        <v>217</v>
      </c>
      <c r="AQ45" s="586"/>
      <c r="AR45" s="586"/>
      <c r="AS45" s="585" t="s">
        <v>352</v>
      </c>
      <c r="AT45" s="586"/>
      <c r="AU45" s="586"/>
    </row>
    <row r="46" spans="2:47" s="305" customFormat="1" ht="30" customHeight="1" thickBot="1">
      <c r="B46" s="306"/>
      <c r="C46" s="307"/>
      <c r="D46" s="307"/>
      <c r="E46" s="308"/>
      <c r="F46" s="308"/>
      <c r="G46" s="308"/>
      <c r="H46" s="309"/>
      <c r="I46" s="836" t="s">
        <v>207</v>
      </c>
      <c r="J46" s="837"/>
      <c r="K46" s="837"/>
      <c r="L46" s="837"/>
      <c r="M46" s="837"/>
      <c r="N46" s="838"/>
      <c r="O46" s="310">
        <f>SUM(O32,O34,O36,O38)</f>
        <v>2720</v>
      </c>
      <c r="P46" s="326"/>
      <c r="Q46" s="326"/>
      <c r="R46" s="326"/>
      <c r="S46" s="326"/>
      <c r="T46" s="326"/>
      <c r="U46" s="326"/>
      <c r="V46" s="587" t="s">
        <v>323</v>
      </c>
      <c r="W46" s="587"/>
      <c r="X46" s="587"/>
      <c r="Y46" s="587" t="s">
        <v>342</v>
      </c>
      <c r="Z46" s="587"/>
      <c r="AA46" s="587"/>
      <c r="AB46" s="587" t="s">
        <v>287</v>
      </c>
      <c r="AC46" s="587"/>
      <c r="AD46" s="587"/>
      <c r="AE46" s="587"/>
      <c r="AF46" s="675" t="s">
        <v>349</v>
      </c>
      <c r="AG46" s="675"/>
      <c r="AH46" s="675"/>
      <c r="AL46" s="326"/>
      <c r="AM46" s="326"/>
      <c r="AN46" s="326"/>
      <c r="AO46" s="326"/>
      <c r="AP46" s="891">
        <v>540</v>
      </c>
      <c r="AQ46" s="891"/>
      <c r="AR46" s="891"/>
      <c r="AS46" s="891">
        <v>500</v>
      </c>
      <c r="AT46" s="891"/>
      <c r="AU46" s="891"/>
    </row>
    <row r="47" spans="2:47" ht="16.5" customHeight="1">
      <c r="AF47" s="676" t="s">
        <v>343</v>
      </c>
      <c r="AG47" s="677"/>
      <c r="AH47" s="677"/>
      <c r="AI47" s="703"/>
      <c r="AJ47" s="703"/>
      <c r="AK47" s="704"/>
    </row>
    <row r="48" spans="2:47" ht="18" customHeight="1" thickBot="1">
      <c r="D48" s="246" t="s">
        <v>218</v>
      </c>
      <c r="O48" s="248">
        <f>O39+O54</f>
        <v>2000</v>
      </c>
      <c r="AF48" s="678" t="s">
        <v>326</v>
      </c>
      <c r="AG48" s="587"/>
      <c r="AH48" s="587"/>
      <c r="AI48" s="326"/>
      <c r="AJ48" s="326"/>
      <c r="AK48" s="705"/>
    </row>
    <row r="49" spans="2:46" ht="18" customHeight="1">
      <c r="D49" s="247" t="s">
        <v>193</v>
      </c>
      <c r="O49" s="248">
        <f>O40+O55</f>
        <v>2000</v>
      </c>
      <c r="V49" s="892"/>
      <c r="W49" s="869"/>
    </row>
    <row r="50" spans="2:46" ht="5.25" customHeight="1"/>
    <row r="51" spans="2:46" s="248" customFormat="1" ht="16.5" customHeight="1" thickBot="1">
      <c r="E51" s="249" t="s">
        <v>194</v>
      </c>
      <c r="F51" s="250">
        <f>I51-N51</f>
        <v>-4</v>
      </c>
      <c r="G51" s="251"/>
      <c r="H51" s="249" t="s">
        <v>195</v>
      </c>
      <c r="I51" s="854">
        <v>19</v>
      </c>
      <c r="J51" s="854"/>
      <c r="K51" s="252"/>
      <c r="M51" s="249" t="s">
        <v>196</v>
      </c>
      <c r="N51" s="855">
        <f>COUNT(P53:AS53)</f>
        <v>23</v>
      </c>
      <c r="O51" s="855"/>
      <c r="P51" s="253" t="s">
        <v>122</v>
      </c>
      <c r="Q51" s="253" t="s">
        <v>121</v>
      </c>
      <c r="R51" s="253" t="s">
        <v>123</v>
      </c>
      <c r="S51" s="253" t="s">
        <v>119</v>
      </c>
      <c r="T51" s="253" t="s">
        <v>119</v>
      </c>
      <c r="U51" s="253" t="s">
        <v>120</v>
      </c>
      <c r="V51" s="253" t="s">
        <v>121</v>
      </c>
      <c r="W51" s="253" t="s">
        <v>122</v>
      </c>
      <c r="X51" s="253" t="s">
        <v>121</v>
      </c>
      <c r="Y51" s="253" t="s">
        <v>123</v>
      </c>
      <c r="Z51" s="253" t="s">
        <v>119</v>
      </c>
      <c r="AA51" s="253" t="s">
        <v>119</v>
      </c>
      <c r="AB51" s="253" t="s">
        <v>120</v>
      </c>
      <c r="AC51" s="253" t="s">
        <v>121</v>
      </c>
      <c r="AD51" s="253" t="s">
        <v>122</v>
      </c>
      <c r="AE51" s="253" t="s">
        <v>121</v>
      </c>
      <c r="AF51" s="253" t="s">
        <v>123</v>
      </c>
      <c r="AG51" s="253" t="s">
        <v>119</v>
      </c>
      <c r="AH51" s="253" t="s">
        <v>119</v>
      </c>
      <c r="AI51" s="253" t="s">
        <v>120</v>
      </c>
      <c r="AJ51" s="253" t="s">
        <v>121</v>
      </c>
      <c r="AK51" s="253" t="s">
        <v>122</v>
      </c>
      <c r="AL51" s="253" t="s">
        <v>121</v>
      </c>
      <c r="AM51" s="253" t="s">
        <v>123</v>
      </c>
      <c r="AN51" s="253" t="s">
        <v>119</v>
      </c>
      <c r="AO51" s="253" t="s">
        <v>119</v>
      </c>
      <c r="AP51" s="253" t="s">
        <v>120</v>
      </c>
      <c r="AQ51" s="253" t="s">
        <v>121</v>
      </c>
      <c r="AR51" s="253" t="s">
        <v>122</v>
      </c>
      <c r="AS51" s="253" t="s">
        <v>121</v>
      </c>
    </row>
    <row r="52" spans="2:46" s="260" customFormat="1" ht="18" customHeight="1" thickBot="1">
      <c r="B52" s="856" t="s">
        <v>115</v>
      </c>
      <c r="C52" s="858" t="s">
        <v>117</v>
      </c>
      <c r="D52" s="858" t="s">
        <v>116</v>
      </c>
      <c r="E52" s="858" t="s">
        <v>197</v>
      </c>
      <c r="F52" s="858"/>
      <c r="G52" s="858"/>
      <c r="H52" s="860" t="s">
        <v>198</v>
      </c>
      <c r="I52" s="861" t="s">
        <v>199</v>
      </c>
      <c r="J52" s="862"/>
      <c r="K52" s="862"/>
      <c r="L52" s="862"/>
      <c r="M52" s="862"/>
      <c r="N52" s="863"/>
      <c r="O52" s="867" t="s">
        <v>200</v>
      </c>
      <c r="P52" s="327">
        <v>1</v>
      </c>
      <c r="Q52" s="255">
        <v>2</v>
      </c>
      <c r="R52" s="257">
        <v>3</v>
      </c>
      <c r="S52" s="256">
        <v>4</v>
      </c>
      <c r="T52" s="257">
        <v>5</v>
      </c>
      <c r="U52" s="256">
        <v>6</v>
      </c>
      <c r="V52" s="255">
        <v>7</v>
      </c>
      <c r="W52" s="255">
        <v>8</v>
      </c>
      <c r="X52" s="255">
        <v>9</v>
      </c>
      <c r="Y52" s="255">
        <v>10</v>
      </c>
      <c r="Z52" s="256">
        <v>11</v>
      </c>
      <c r="AA52" s="257">
        <v>12</v>
      </c>
      <c r="AB52" s="255">
        <v>13</v>
      </c>
      <c r="AC52" s="255">
        <v>14</v>
      </c>
      <c r="AD52" s="255">
        <v>15</v>
      </c>
      <c r="AE52" s="255">
        <v>16</v>
      </c>
      <c r="AF52" s="255">
        <v>17</v>
      </c>
      <c r="AG52" s="256">
        <v>18</v>
      </c>
      <c r="AH52" s="257">
        <v>19</v>
      </c>
      <c r="AI52" s="255">
        <v>20</v>
      </c>
      <c r="AJ52" s="255">
        <v>21</v>
      </c>
      <c r="AK52" s="255">
        <v>22</v>
      </c>
      <c r="AL52" s="255">
        <v>23</v>
      </c>
      <c r="AM52" s="255">
        <v>24</v>
      </c>
      <c r="AN52" s="256">
        <v>25</v>
      </c>
      <c r="AO52" s="257">
        <v>26</v>
      </c>
      <c r="AP52" s="255">
        <v>27</v>
      </c>
      <c r="AQ52" s="255">
        <v>28</v>
      </c>
      <c r="AR52" s="255">
        <v>29</v>
      </c>
      <c r="AS52" s="312">
        <v>30</v>
      </c>
      <c r="AT52" s="296"/>
    </row>
    <row r="53" spans="2:46" s="260" customFormat="1" ht="17.25" customHeight="1" thickBot="1">
      <c r="B53" s="857"/>
      <c r="C53" s="859"/>
      <c r="D53" s="859"/>
      <c r="E53" s="261" t="s">
        <v>201</v>
      </c>
      <c r="F53" s="261" t="s">
        <v>202</v>
      </c>
      <c r="G53" s="261" t="s">
        <v>203</v>
      </c>
      <c r="H53" s="859"/>
      <c r="I53" s="864"/>
      <c r="J53" s="865"/>
      <c r="K53" s="865"/>
      <c r="L53" s="865"/>
      <c r="M53" s="865"/>
      <c r="N53" s="866"/>
      <c r="O53" s="868"/>
      <c r="P53" s="262">
        <v>2</v>
      </c>
      <c r="Q53" s="263">
        <v>2</v>
      </c>
      <c r="R53" s="263"/>
      <c r="S53" s="263"/>
      <c r="T53" s="263"/>
      <c r="U53" s="263"/>
      <c r="V53" s="263">
        <v>2</v>
      </c>
      <c r="W53" s="263">
        <v>2</v>
      </c>
      <c r="X53" s="263">
        <v>2</v>
      </c>
      <c r="Y53" s="263">
        <v>2</v>
      </c>
      <c r="Z53" s="263">
        <v>2</v>
      </c>
      <c r="AA53" s="263"/>
      <c r="AB53" s="263">
        <v>2</v>
      </c>
      <c r="AC53" s="263">
        <v>2</v>
      </c>
      <c r="AD53" s="263">
        <v>2</v>
      </c>
      <c r="AE53" s="263">
        <v>2</v>
      </c>
      <c r="AF53" s="263">
        <v>2</v>
      </c>
      <c r="AG53" s="263">
        <v>2</v>
      </c>
      <c r="AH53" s="263"/>
      <c r="AI53" s="263">
        <v>2</v>
      </c>
      <c r="AJ53" s="263">
        <v>2</v>
      </c>
      <c r="AK53" s="263">
        <v>2</v>
      </c>
      <c r="AL53" s="263">
        <v>2</v>
      </c>
      <c r="AM53" s="263">
        <v>2</v>
      </c>
      <c r="AN53" s="263">
        <v>2</v>
      </c>
      <c r="AO53" s="263"/>
      <c r="AP53" s="263">
        <v>2</v>
      </c>
      <c r="AQ53" s="263">
        <v>2</v>
      </c>
      <c r="AR53" s="263">
        <v>2</v>
      </c>
      <c r="AS53" s="263">
        <v>2</v>
      </c>
      <c r="AT53" s="296"/>
    </row>
    <row r="54" spans="2:46" s="260" customFormat="1" ht="30" customHeight="1">
      <c r="B54" s="853" t="s">
        <v>41</v>
      </c>
      <c r="C54" s="843" t="s">
        <v>261</v>
      </c>
      <c r="D54" s="843" t="s">
        <v>127</v>
      </c>
      <c r="E54" s="843" t="s">
        <v>204</v>
      </c>
      <c r="F54" s="843" t="s">
        <v>205</v>
      </c>
      <c r="G54" s="843">
        <v>35</v>
      </c>
      <c r="H54" s="843">
        <v>2000</v>
      </c>
      <c r="I54" s="844" t="s">
        <v>206</v>
      </c>
      <c r="J54" s="845"/>
      <c r="K54" s="845"/>
      <c r="L54" s="845"/>
      <c r="M54" s="845"/>
      <c r="N54" s="846"/>
      <c r="O54" s="275">
        <f t="shared" ref="O54:O63" si="1">SUM(P54:AS54)</f>
        <v>760</v>
      </c>
      <c r="P54" s="328">
        <v>280</v>
      </c>
      <c r="Q54" s="329">
        <v>280</v>
      </c>
      <c r="R54" s="330"/>
      <c r="S54" s="330"/>
      <c r="T54" s="330"/>
      <c r="U54" s="330"/>
      <c r="V54" s="329">
        <v>200</v>
      </c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296"/>
    </row>
    <row r="55" spans="2:46" s="260" customFormat="1" ht="30" customHeight="1">
      <c r="B55" s="840"/>
      <c r="C55" s="842"/>
      <c r="D55" s="842"/>
      <c r="E55" s="842"/>
      <c r="F55" s="842"/>
      <c r="G55" s="842"/>
      <c r="H55" s="842"/>
      <c r="I55" s="847" t="s">
        <v>207</v>
      </c>
      <c r="J55" s="848"/>
      <c r="K55" s="848"/>
      <c r="L55" s="848"/>
      <c r="M55" s="848"/>
      <c r="N55" s="849"/>
      <c r="O55" s="270">
        <f t="shared" si="1"/>
        <v>940</v>
      </c>
      <c r="P55" s="331">
        <v>280</v>
      </c>
      <c r="Q55" s="332">
        <v>280</v>
      </c>
      <c r="R55" s="333"/>
      <c r="S55" s="333"/>
      <c r="T55" s="333"/>
      <c r="U55" s="333"/>
      <c r="V55" s="332">
        <v>280</v>
      </c>
      <c r="W55" s="332">
        <v>100</v>
      </c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296"/>
    </row>
    <row r="56" spans="2:46" s="280" customFormat="1" ht="30" customHeight="1">
      <c r="B56" s="839" t="s">
        <v>43</v>
      </c>
      <c r="C56" s="491" t="s">
        <v>263</v>
      </c>
      <c r="D56" s="490" t="s">
        <v>127</v>
      </c>
      <c r="E56" s="490" t="s">
        <v>138</v>
      </c>
      <c r="F56" s="490" t="s">
        <v>205</v>
      </c>
      <c r="G56" s="490">
        <v>50</v>
      </c>
      <c r="H56" s="490">
        <v>1000</v>
      </c>
      <c r="I56" s="883" t="s">
        <v>206</v>
      </c>
      <c r="J56" s="884"/>
      <c r="K56" s="884"/>
      <c r="L56" s="884"/>
      <c r="M56" s="884"/>
      <c r="N56" s="885"/>
      <c r="O56" s="275">
        <f t="shared" si="1"/>
        <v>1000</v>
      </c>
      <c r="P56" s="276"/>
      <c r="Q56" s="277"/>
      <c r="R56" s="278"/>
      <c r="S56" s="278"/>
      <c r="T56" s="278"/>
      <c r="U56" s="278"/>
      <c r="V56" s="277">
        <v>80</v>
      </c>
      <c r="W56" s="277">
        <v>240</v>
      </c>
      <c r="X56" s="277">
        <v>240</v>
      </c>
      <c r="Y56" s="277">
        <v>240</v>
      </c>
      <c r="Z56" s="277">
        <v>200</v>
      </c>
      <c r="AA56" s="277"/>
      <c r="AB56" s="277"/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313"/>
    </row>
    <row r="57" spans="2:46" s="280" customFormat="1" ht="30" customHeight="1">
      <c r="B57" s="840"/>
      <c r="C57" s="489"/>
      <c r="D57" s="489"/>
      <c r="E57" s="489"/>
      <c r="F57" s="489"/>
      <c r="G57" s="489"/>
      <c r="H57" s="489"/>
      <c r="I57" s="847" t="s">
        <v>207</v>
      </c>
      <c r="J57" s="848"/>
      <c r="K57" s="848"/>
      <c r="L57" s="848"/>
      <c r="M57" s="848"/>
      <c r="N57" s="849"/>
      <c r="O57" s="270">
        <f t="shared" si="1"/>
        <v>1000</v>
      </c>
      <c r="P57" s="331"/>
      <c r="Q57" s="332"/>
      <c r="R57" s="333"/>
      <c r="S57" s="333"/>
      <c r="T57" s="333"/>
      <c r="U57" s="333"/>
      <c r="V57" s="332"/>
      <c r="W57" s="332">
        <v>140</v>
      </c>
      <c r="X57" s="332">
        <v>240</v>
      </c>
      <c r="Y57" s="332">
        <v>240</v>
      </c>
      <c r="Z57" s="332">
        <v>240</v>
      </c>
      <c r="AA57" s="332"/>
      <c r="AB57" s="332">
        <v>140</v>
      </c>
      <c r="AC57" s="332"/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2"/>
      <c r="AQ57" s="332"/>
      <c r="AR57" s="332"/>
      <c r="AS57" s="332"/>
      <c r="AT57" s="313"/>
    </row>
    <row r="58" spans="2:46" s="280" customFormat="1" ht="30" customHeight="1">
      <c r="B58" s="839" t="s">
        <v>44</v>
      </c>
      <c r="C58" s="491" t="s">
        <v>221</v>
      </c>
      <c r="D58" s="490" t="s">
        <v>127</v>
      </c>
      <c r="E58" s="490" t="s">
        <v>136</v>
      </c>
      <c r="F58" s="490" t="s">
        <v>205</v>
      </c>
      <c r="G58" s="490">
        <v>50</v>
      </c>
      <c r="H58" s="490">
        <v>1000</v>
      </c>
      <c r="I58" s="883" t="s">
        <v>206</v>
      </c>
      <c r="J58" s="884"/>
      <c r="K58" s="884"/>
      <c r="L58" s="884"/>
      <c r="M58" s="884"/>
      <c r="N58" s="885"/>
      <c r="O58" s="275">
        <f t="shared" si="1"/>
        <v>1000</v>
      </c>
      <c r="P58" s="276"/>
      <c r="Q58" s="277"/>
      <c r="R58" s="278"/>
      <c r="S58" s="278"/>
      <c r="T58" s="278"/>
      <c r="U58" s="278"/>
      <c r="V58" s="277"/>
      <c r="W58" s="277"/>
      <c r="X58" s="277"/>
      <c r="Y58" s="277"/>
      <c r="Z58" s="277"/>
      <c r="AA58" s="277"/>
      <c r="AB58" s="277">
        <v>160</v>
      </c>
      <c r="AC58" s="277">
        <v>240</v>
      </c>
      <c r="AD58" s="277">
        <v>240</v>
      </c>
      <c r="AE58" s="277">
        <v>240</v>
      </c>
      <c r="AF58" s="277">
        <v>120</v>
      </c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313"/>
    </row>
    <row r="59" spans="2:46" s="280" customFormat="1" ht="30" customHeight="1">
      <c r="B59" s="840"/>
      <c r="C59" s="489"/>
      <c r="D59" s="489"/>
      <c r="E59" s="489"/>
      <c r="F59" s="489"/>
      <c r="G59" s="489"/>
      <c r="H59" s="489"/>
      <c r="I59" s="847" t="s">
        <v>207</v>
      </c>
      <c r="J59" s="848"/>
      <c r="K59" s="848"/>
      <c r="L59" s="848"/>
      <c r="M59" s="848"/>
      <c r="N59" s="849"/>
      <c r="O59" s="270">
        <f t="shared" si="1"/>
        <v>1000</v>
      </c>
      <c r="P59" s="331"/>
      <c r="Q59" s="332"/>
      <c r="R59" s="333"/>
      <c r="S59" s="333"/>
      <c r="T59" s="333"/>
      <c r="U59" s="333"/>
      <c r="V59" s="332"/>
      <c r="W59" s="332"/>
      <c r="X59" s="332"/>
      <c r="Y59" s="332"/>
      <c r="Z59" s="332"/>
      <c r="AA59" s="332"/>
      <c r="AB59" s="332">
        <v>80</v>
      </c>
      <c r="AC59" s="332">
        <v>240</v>
      </c>
      <c r="AD59" s="332">
        <v>240</v>
      </c>
      <c r="AE59" s="332">
        <v>240</v>
      </c>
      <c r="AF59" s="332">
        <v>200</v>
      </c>
      <c r="AG59" s="332"/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13"/>
    </row>
    <row r="60" spans="2:46" s="280" customFormat="1" ht="30" customHeight="1">
      <c r="B60" s="839" t="s">
        <v>45</v>
      </c>
      <c r="C60" s="491" t="s">
        <v>222</v>
      </c>
      <c r="D60" s="490" t="s">
        <v>127</v>
      </c>
      <c r="E60" s="490" t="s">
        <v>138</v>
      </c>
      <c r="F60" s="490" t="s">
        <v>205</v>
      </c>
      <c r="G60" s="490">
        <v>35</v>
      </c>
      <c r="H60" s="490">
        <v>2000</v>
      </c>
      <c r="I60" s="883" t="s">
        <v>206</v>
      </c>
      <c r="J60" s="884"/>
      <c r="K60" s="884"/>
      <c r="L60" s="884"/>
      <c r="M60" s="884"/>
      <c r="N60" s="885"/>
      <c r="O60" s="275">
        <f t="shared" si="1"/>
        <v>2000</v>
      </c>
      <c r="P60" s="314"/>
      <c r="Q60" s="277"/>
      <c r="R60" s="278"/>
      <c r="S60" s="278"/>
      <c r="T60" s="278"/>
      <c r="U60" s="278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>
        <v>120</v>
      </c>
      <c r="AG60" s="277">
        <v>280</v>
      </c>
      <c r="AH60" s="277"/>
      <c r="AI60" s="277">
        <v>280</v>
      </c>
      <c r="AJ60" s="277">
        <v>280</v>
      </c>
      <c r="AK60" s="277">
        <v>280</v>
      </c>
      <c r="AL60" s="277">
        <v>280</v>
      </c>
      <c r="AM60" s="277">
        <v>280</v>
      </c>
      <c r="AN60" s="277">
        <v>200</v>
      </c>
      <c r="AO60" s="277"/>
      <c r="AP60" s="277"/>
      <c r="AQ60" s="277"/>
      <c r="AR60" s="277"/>
      <c r="AS60" s="277"/>
      <c r="AT60" s="313"/>
    </row>
    <row r="61" spans="2:46" s="280" customFormat="1" ht="30" customHeight="1">
      <c r="B61" s="840"/>
      <c r="C61" s="489"/>
      <c r="D61" s="489"/>
      <c r="E61" s="489"/>
      <c r="F61" s="489"/>
      <c r="G61" s="489"/>
      <c r="H61" s="489"/>
      <c r="I61" s="847" t="s">
        <v>207</v>
      </c>
      <c r="J61" s="848"/>
      <c r="K61" s="848"/>
      <c r="L61" s="848"/>
      <c r="M61" s="848"/>
      <c r="N61" s="849"/>
      <c r="O61" s="270">
        <f t="shared" si="1"/>
        <v>2000</v>
      </c>
      <c r="P61" s="331"/>
      <c r="Q61" s="332"/>
      <c r="R61" s="333"/>
      <c r="S61" s="333"/>
      <c r="T61" s="333"/>
      <c r="U61" s="333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>
        <v>80</v>
      </c>
      <c r="AG61" s="332">
        <v>240</v>
      </c>
      <c r="AH61" s="332"/>
      <c r="AI61" s="332">
        <v>280</v>
      </c>
      <c r="AJ61" s="332">
        <v>280</v>
      </c>
      <c r="AK61" s="332">
        <v>280</v>
      </c>
      <c r="AL61" s="332">
        <v>280</v>
      </c>
      <c r="AM61" s="332">
        <v>280</v>
      </c>
      <c r="AN61" s="332">
        <v>280</v>
      </c>
      <c r="AO61" s="332"/>
      <c r="AP61" s="332"/>
      <c r="AQ61" s="332"/>
      <c r="AR61" s="332"/>
      <c r="AS61" s="517"/>
      <c r="AT61" s="313"/>
    </row>
    <row r="62" spans="2:46" s="260" customFormat="1" ht="30" customHeight="1">
      <c r="B62" s="839" t="s">
        <v>46</v>
      </c>
      <c r="C62" s="841" t="s">
        <v>223</v>
      </c>
      <c r="D62" s="843" t="s">
        <v>127</v>
      </c>
      <c r="E62" s="843" t="s">
        <v>138</v>
      </c>
      <c r="F62" s="843" t="s">
        <v>205</v>
      </c>
      <c r="G62" s="843">
        <v>50</v>
      </c>
      <c r="H62" s="843">
        <v>2000</v>
      </c>
      <c r="I62" s="844" t="s">
        <v>206</v>
      </c>
      <c r="J62" s="845"/>
      <c r="K62" s="845"/>
      <c r="L62" s="845"/>
      <c r="M62" s="845"/>
      <c r="N62" s="846"/>
      <c r="O62" s="275">
        <f t="shared" si="1"/>
        <v>1040</v>
      </c>
      <c r="P62" s="314"/>
      <c r="Q62" s="277"/>
      <c r="R62" s="278"/>
      <c r="S62" s="278"/>
      <c r="T62" s="278"/>
      <c r="U62" s="278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>
        <v>200</v>
      </c>
      <c r="AQ62" s="277">
        <v>280</v>
      </c>
      <c r="AR62" s="277">
        <v>280</v>
      </c>
      <c r="AS62" s="279">
        <v>280</v>
      </c>
      <c r="AT62" s="296"/>
    </row>
    <row r="63" spans="2:46" s="260" customFormat="1" ht="30" customHeight="1" thickBot="1">
      <c r="B63" s="840"/>
      <c r="C63" s="842"/>
      <c r="D63" s="842"/>
      <c r="E63" s="842"/>
      <c r="F63" s="842"/>
      <c r="G63" s="842"/>
      <c r="H63" s="842"/>
      <c r="I63" s="847" t="s">
        <v>207</v>
      </c>
      <c r="J63" s="848"/>
      <c r="K63" s="848"/>
      <c r="L63" s="848"/>
      <c r="M63" s="848"/>
      <c r="N63" s="849"/>
      <c r="O63" s="270">
        <f t="shared" si="1"/>
        <v>920</v>
      </c>
      <c r="P63" s="315"/>
      <c r="Q63" s="298"/>
      <c r="R63" s="316"/>
      <c r="S63" s="316"/>
      <c r="T63" s="316"/>
      <c r="U63" s="316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>
        <v>80</v>
      </c>
      <c r="AQ63" s="298">
        <v>280</v>
      </c>
      <c r="AR63" s="298">
        <v>280</v>
      </c>
      <c r="AS63" s="299">
        <v>280</v>
      </c>
      <c r="AT63" s="296"/>
    </row>
    <row r="64" spans="2:46" s="260" customFormat="1" ht="30" hidden="1" customHeight="1">
      <c r="B64" s="288"/>
      <c r="C64" s="289"/>
      <c r="D64" s="289"/>
      <c r="E64" s="289"/>
      <c r="F64" s="289"/>
      <c r="G64" s="289"/>
      <c r="H64" s="289"/>
      <c r="I64" s="290"/>
      <c r="J64" s="290"/>
      <c r="K64" s="291"/>
      <c r="L64" s="291"/>
      <c r="M64" s="292"/>
      <c r="N64" s="293"/>
      <c r="O64" s="294"/>
      <c r="P64" s="297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9"/>
      <c r="AT64" s="296"/>
    </row>
    <row r="65" spans="2:46" s="260" customFormat="1" ht="30" hidden="1" customHeight="1" thickBot="1">
      <c r="B65" s="317"/>
      <c r="C65" s="318"/>
      <c r="D65" s="318"/>
      <c r="E65" s="318"/>
      <c r="F65" s="318"/>
      <c r="G65" s="318"/>
      <c r="H65" s="318"/>
      <c r="I65" s="319"/>
      <c r="J65" s="319"/>
      <c r="K65" s="320"/>
      <c r="L65" s="320"/>
      <c r="M65" s="321"/>
      <c r="N65" s="322"/>
      <c r="O65" s="323"/>
      <c r="P65" s="285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7"/>
      <c r="AT65" s="296"/>
    </row>
    <row r="66" spans="2:46" s="305" customFormat="1" ht="30" customHeight="1">
      <c r="B66" s="300"/>
      <c r="C66" s="301"/>
      <c r="D66" s="301"/>
      <c r="E66" s="302"/>
      <c r="F66" s="302"/>
      <c r="G66" s="302"/>
      <c r="H66" s="303"/>
      <c r="I66" s="850" t="s">
        <v>206</v>
      </c>
      <c r="J66" s="851"/>
      <c r="K66" s="851"/>
      <c r="L66" s="851"/>
      <c r="M66" s="851"/>
      <c r="N66" s="852"/>
      <c r="O66" s="304">
        <f>SUM(O54,O56,O58,O60)</f>
        <v>4760</v>
      </c>
      <c r="P66" s="324"/>
      <c r="Q66" s="324"/>
      <c r="R66" s="585" t="s">
        <v>217</v>
      </c>
      <c r="S66" s="586"/>
      <c r="T66" s="586"/>
      <c r="U66" s="324"/>
      <c r="V66" s="324"/>
      <c r="W66" s="324"/>
      <c r="X66" s="585" t="s">
        <v>217</v>
      </c>
      <c r="Y66" s="585"/>
      <c r="Z66" s="585"/>
      <c r="AA66" s="324"/>
      <c r="AB66" s="324"/>
      <c r="AC66" s="324"/>
      <c r="AD66" s="324"/>
      <c r="AE66" s="324"/>
      <c r="AF66" s="585" t="s">
        <v>357</v>
      </c>
      <c r="AG66" s="586"/>
      <c r="AH66" s="586"/>
      <c r="AI66" s="324"/>
      <c r="AJ66" s="324"/>
      <c r="AK66" s="324"/>
      <c r="AL66" s="324"/>
      <c r="AM66" s="324"/>
      <c r="AN66" s="585" t="s">
        <v>358</v>
      </c>
      <c r="AO66" s="586"/>
      <c r="AP66" s="586"/>
      <c r="AQ66" s="324"/>
      <c r="AR66" s="324"/>
      <c r="AS66" s="324"/>
      <c r="AT66" s="325"/>
    </row>
    <row r="67" spans="2:46" s="305" customFormat="1" ht="30" customHeight="1" thickBot="1">
      <c r="B67" s="306"/>
      <c r="C67" s="307"/>
      <c r="D67" s="307"/>
      <c r="E67" s="308"/>
      <c r="F67" s="308"/>
      <c r="G67" s="308"/>
      <c r="H67" s="309"/>
      <c r="I67" s="836" t="s">
        <v>207</v>
      </c>
      <c r="J67" s="837"/>
      <c r="K67" s="837"/>
      <c r="L67" s="837"/>
      <c r="M67" s="837"/>
      <c r="N67" s="838"/>
      <c r="O67" s="310">
        <f>SUM(O55,O57,O59,O61)</f>
        <v>4940</v>
      </c>
      <c r="P67" s="326"/>
      <c r="Q67" s="326"/>
      <c r="R67" s="891">
        <v>540</v>
      </c>
      <c r="S67" s="891"/>
      <c r="T67" s="891"/>
      <c r="U67" s="326"/>
      <c r="V67" s="326"/>
      <c r="W67" s="326"/>
      <c r="X67" s="675" t="s">
        <v>354</v>
      </c>
      <c r="Y67" s="675"/>
      <c r="Z67" s="675"/>
      <c r="AD67" s="326"/>
      <c r="AE67" s="326"/>
      <c r="AF67" s="891" t="s">
        <v>332</v>
      </c>
      <c r="AG67" s="891"/>
      <c r="AH67" s="891"/>
      <c r="AI67" s="326"/>
      <c r="AJ67" s="326"/>
      <c r="AK67" s="326"/>
      <c r="AL67" s="326"/>
      <c r="AM67" s="326"/>
      <c r="AN67" s="891" t="s">
        <v>359</v>
      </c>
      <c r="AO67" s="891"/>
      <c r="AP67" s="891"/>
      <c r="AQ67" s="326"/>
      <c r="AR67" s="326"/>
      <c r="AS67" s="326"/>
      <c r="AT67" s="325"/>
    </row>
    <row r="68" spans="2:46" ht="27.75" customHeight="1">
      <c r="D68" s="246" t="s">
        <v>224</v>
      </c>
      <c r="X68" s="676" t="s">
        <v>356</v>
      </c>
      <c r="Y68" s="677"/>
      <c r="Z68" s="677"/>
      <c r="AA68" s="703"/>
      <c r="AB68" s="703"/>
      <c r="AC68" s="704"/>
    </row>
    <row r="69" spans="2:46" ht="18" customHeight="1" thickBot="1">
      <c r="D69" s="247" t="s">
        <v>193</v>
      </c>
      <c r="V69" s="869"/>
      <c r="W69" s="869"/>
      <c r="X69" s="678" t="s">
        <v>355</v>
      </c>
      <c r="Y69" s="587"/>
      <c r="Z69" s="587"/>
      <c r="AA69" s="326"/>
      <c r="AB69" s="326"/>
      <c r="AC69" s="705"/>
    </row>
    <row r="70" spans="2:46" ht="5.25" customHeight="1"/>
    <row r="71" spans="2:46" s="248" customFormat="1" ht="16.5" customHeight="1" thickBot="1">
      <c r="E71" s="249" t="s">
        <v>194</v>
      </c>
      <c r="F71" s="250">
        <f>I71-N71</f>
        <v>3</v>
      </c>
      <c r="G71" s="251"/>
      <c r="H71" s="249" t="s">
        <v>195</v>
      </c>
      <c r="I71" s="854">
        <v>19</v>
      </c>
      <c r="J71" s="854"/>
      <c r="K71" s="252"/>
      <c r="M71" s="249" t="s">
        <v>196</v>
      </c>
      <c r="N71" s="855">
        <f>COUNT(P73:AS73)</f>
        <v>16</v>
      </c>
      <c r="O71" s="855"/>
      <c r="P71" s="253" t="s">
        <v>123</v>
      </c>
      <c r="Q71" s="253" t="s">
        <v>119</v>
      </c>
      <c r="R71" s="253" t="s">
        <v>119</v>
      </c>
      <c r="S71" s="253" t="s">
        <v>120</v>
      </c>
      <c r="T71" s="253" t="s">
        <v>121</v>
      </c>
      <c r="U71" s="253" t="s">
        <v>122</v>
      </c>
      <c r="V71" s="253" t="s">
        <v>121</v>
      </c>
      <c r="W71" s="253" t="s">
        <v>123</v>
      </c>
      <c r="X71" s="253" t="s">
        <v>119</v>
      </c>
      <c r="Y71" s="253" t="s">
        <v>119</v>
      </c>
      <c r="Z71" s="253" t="s">
        <v>120</v>
      </c>
      <c r="AA71" s="253" t="s">
        <v>121</v>
      </c>
      <c r="AB71" s="253" t="s">
        <v>122</v>
      </c>
      <c r="AC71" s="253" t="s">
        <v>121</v>
      </c>
      <c r="AD71" s="253" t="s">
        <v>123</v>
      </c>
      <c r="AE71" s="253" t="s">
        <v>119</v>
      </c>
      <c r="AF71" s="253" t="s">
        <v>119</v>
      </c>
      <c r="AG71" s="253" t="s">
        <v>120</v>
      </c>
      <c r="AH71" s="253" t="s">
        <v>121</v>
      </c>
      <c r="AI71" s="253" t="s">
        <v>122</v>
      </c>
      <c r="AJ71" s="253" t="s">
        <v>121</v>
      </c>
      <c r="AK71" s="253" t="s">
        <v>123</v>
      </c>
      <c r="AL71" s="253" t="s">
        <v>119</v>
      </c>
      <c r="AM71" s="253" t="s">
        <v>119</v>
      </c>
      <c r="AN71" s="253" t="s">
        <v>120</v>
      </c>
      <c r="AO71" s="253" t="s">
        <v>121</v>
      </c>
      <c r="AP71" s="253" t="s">
        <v>122</v>
      </c>
      <c r="AQ71" s="253" t="s">
        <v>121</v>
      </c>
      <c r="AR71" s="253" t="s">
        <v>123</v>
      </c>
      <c r="AS71" s="253" t="s">
        <v>119</v>
      </c>
      <c r="AT71" s="253" t="s">
        <v>119</v>
      </c>
    </row>
    <row r="72" spans="2:46" s="260" customFormat="1" ht="18" customHeight="1" thickBot="1">
      <c r="B72" s="856" t="s">
        <v>115</v>
      </c>
      <c r="C72" s="858" t="s">
        <v>117</v>
      </c>
      <c r="D72" s="858" t="s">
        <v>116</v>
      </c>
      <c r="E72" s="858" t="s">
        <v>197</v>
      </c>
      <c r="F72" s="858"/>
      <c r="G72" s="858"/>
      <c r="H72" s="860" t="s">
        <v>198</v>
      </c>
      <c r="I72" s="861" t="s">
        <v>199</v>
      </c>
      <c r="J72" s="862"/>
      <c r="K72" s="862"/>
      <c r="L72" s="862"/>
      <c r="M72" s="862"/>
      <c r="N72" s="863"/>
      <c r="O72" s="867" t="s">
        <v>200</v>
      </c>
      <c r="P72" s="327">
        <v>1</v>
      </c>
      <c r="Q72" s="256">
        <v>2</v>
      </c>
      <c r="R72" s="257">
        <v>3</v>
      </c>
      <c r="S72" s="255">
        <v>4</v>
      </c>
      <c r="T72" s="255">
        <v>5</v>
      </c>
      <c r="U72" s="255">
        <v>6</v>
      </c>
      <c r="V72" s="255">
        <v>7</v>
      </c>
      <c r="W72" s="255">
        <v>8</v>
      </c>
      <c r="X72" s="256">
        <v>9</v>
      </c>
      <c r="Y72" s="257">
        <v>10</v>
      </c>
      <c r="Z72" s="255">
        <v>11</v>
      </c>
      <c r="AA72" s="255">
        <v>12</v>
      </c>
      <c r="AB72" s="255">
        <v>13</v>
      </c>
      <c r="AC72" s="255">
        <v>14</v>
      </c>
      <c r="AD72" s="255">
        <v>15</v>
      </c>
      <c r="AE72" s="256">
        <v>16</v>
      </c>
      <c r="AF72" s="257">
        <v>17</v>
      </c>
      <c r="AG72" s="255">
        <v>18</v>
      </c>
      <c r="AH72" s="255">
        <v>19</v>
      </c>
      <c r="AI72" s="255">
        <v>20</v>
      </c>
      <c r="AJ72" s="255">
        <v>21</v>
      </c>
      <c r="AK72" s="255">
        <v>22</v>
      </c>
      <c r="AL72" s="256">
        <v>23</v>
      </c>
      <c r="AM72" s="257">
        <v>24</v>
      </c>
      <c r="AN72" s="255">
        <v>25</v>
      </c>
      <c r="AO72" s="255">
        <v>26</v>
      </c>
      <c r="AP72" s="255">
        <v>27</v>
      </c>
      <c r="AQ72" s="255">
        <v>28</v>
      </c>
      <c r="AR72" s="255">
        <v>29</v>
      </c>
      <c r="AS72" s="256">
        <v>30</v>
      </c>
      <c r="AT72" s="257">
        <v>31</v>
      </c>
    </row>
    <row r="73" spans="2:46" s="260" customFormat="1" ht="17.25" customHeight="1" thickBot="1">
      <c r="B73" s="857"/>
      <c r="C73" s="859"/>
      <c r="D73" s="859"/>
      <c r="E73" s="261" t="s">
        <v>201</v>
      </c>
      <c r="F73" s="261" t="s">
        <v>202</v>
      </c>
      <c r="G73" s="261" t="s">
        <v>203</v>
      </c>
      <c r="H73" s="859"/>
      <c r="I73" s="864"/>
      <c r="J73" s="865"/>
      <c r="K73" s="865"/>
      <c r="L73" s="865"/>
      <c r="M73" s="865"/>
      <c r="N73" s="866"/>
      <c r="O73" s="868"/>
      <c r="P73" s="262">
        <v>2</v>
      </c>
      <c r="Q73" s="263">
        <v>2</v>
      </c>
      <c r="R73" s="263"/>
      <c r="S73" s="263">
        <v>2</v>
      </c>
      <c r="T73" s="263">
        <v>2</v>
      </c>
      <c r="U73" s="263">
        <v>2</v>
      </c>
      <c r="V73" s="263">
        <v>2</v>
      </c>
      <c r="W73" s="263">
        <v>2</v>
      </c>
      <c r="X73" s="263">
        <v>2</v>
      </c>
      <c r="Y73" s="263"/>
      <c r="Z73" s="263">
        <v>2</v>
      </c>
      <c r="AA73" s="263">
        <v>2</v>
      </c>
      <c r="AB73" s="263">
        <v>2</v>
      </c>
      <c r="AC73" s="263">
        <v>2</v>
      </c>
      <c r="AD73" s="263">
        <v>2</v>
      </c>
      <c r="AE73" s="263">
        <v>2</v>
      </c>
      <c r="AF73" s="263"/>
      <c r="AG73" s="263">
        <v>2</v>
      </c>
      <c r="AH73" s="263">
        <v>2</v>
      </c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</row>
    <row r="74" spans="2:46" s="260" customFormat="1" ht="30" customHeight="1">
      <c r="B74" s="853" t="s">
        <v>41</v>
      </c>
      <c r="C74" s="491" t="s">
        <v>223</v>
      </c>
      <c r="D74" s="490" t="s">
        <v>127</v>
      </c>
      <c r="E74" s="490" t="s">
        <v>138</v>
      </c>
      <c r="F74" s="490" t="s">
        <v>205</v>
      </c>
      <c r="G74" s="490">
        <v>50</v>
      </c>
      <c r="H74" s="490">
        <v>2000</v>
      </c>
      <c r="I74" s="888" t="s">
        <v>206</v>
      </c>
      <c r="J74" s="889"/>
      <c r="K74" s="889"/>
      <c r="L74" s="889"/>
      <c r="M74" s="889"/>
      <c r="N74" s="890"/>
      <c r="O74" s="275">
        <f t="shared" ref="O74:O79" si="2">SUM(P74:AS74)</f>
        <v>960</v>
      </c>
      <c r="P74" s="328">
        <v>240</v>
      </c>
      <c r="Q74" s="329">
        <v>240</v>
      </c>
      <c r="R74" s="329"/>
      <c r="S74" s="329">
        <v>240</v>
      </c>
      <c r="T74" s="329">
        <v>240</v>
      </c>
      <c r="U74" s="329"/>
      <c r="V74" s="329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518"/>
    </row>
    <row r="75" spans="2:46" s="260" customFormat="1" ht="30" customHeight="1">
      <c r="B75" s="840"/>
      <c r="C75" s="489"/>
      <c r="D75" s="489"/>
      <c r="E75" s="489"/>
      <c r="F75" s="489"/>
      <c r="G75" s="489"/>
      <c r="H75" s="489"/>
      <c r="I75" s="847" t="s">
        <v>207</v>
      </c>
      <c r="J75" s="848"/>
      <c r="K75" s="848"/>
      <c r="L75" s="848"/>
      <c r="M75" s="848"/>
      <c r="N75" s="849"/>
      <c r="O75" s="270">
        <f t="shared" si="2"/>
        <v>1080</v>
      </c>
      <c r="P75" s="331">
        <v>240</v>
      </c>
      <c r="Q75" s="332">
        <v>240</v>
      </c>
      <c r="R75" s="332"/>
      <c r="S75" s="332">
        <v>240</v>
      </c>
      <c r="T75" s="332">
        <v>240</v>
      </c>
      <c r="U75" s="332">
        <v>120</v>
      </c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519"/>
    </row>
    <row r="76" spans="2:46" s="280" customFormat="1" ht="30" customHeight="1">
      <c r="B76" s="839" t="s">
        <v>42</v>
      </c>
      <c r="C76" s="491" t="s">
        <v>225</v>
      </c>
      <c r="D76" s="490" t="s">
        <v>127</v>
      </c>
      <c r="E76" s="490" t="s">
        <v>138</v>
      </c>
      <c r="F76" s="490" t="s">
        <v>205</v>
      </c>
      <c r="G76" s="490">
        <v>50</v>
      </c>
      <c r="H76" s="490">
        <v>1000</v>
      </c>
      <c r="I76" s="883" t="s">
        <v>206</v>
      </c>
      <c r="J76" s="884"/>
      <c r="K76" s="884"/>
      <c r="L76" s="884"/>
      <c r="M76" s="884"/>
      <c r="N76" s="885"/>
      <c r="O76" s="275">
        <f t="shared" si="2"/>
        <v>1000</v>
      </c>
      <c r="P76" s="276"/>
      <c r="Q76" s="277"/>
      <c r="R76" s="277"/>
      <c r="S76" s="277"/>
      <c r="T76" s="277"/>
      <c r="U76" s="277">
        <v>240</v>
      </c>
      <c r="V76" s="277">
        <v>240</v>
      </c>
      <c r="W76" s="277">
        <v>240</v>
      </c>
      <c r="X76" s="277">
        <v>240</v>
      </c>
      <c r="Y76" s="277"/>
      <c r="Z76" s="277">
        <v>40</v>
      </c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520"/>
    </row>
    <row r="77" spans="2:46" s="280" customFormat="1" ht="30" customHeight="1">
      <c r="B77" s="840"/>
      <c r="C77" s="489"/>
      <c r="D77" s="489"/>
      <c r="E77" s="489"/>
      <c r="F77" s="489"/>
      <c r="G77" s="489"/>
      <c r="H77" s="489"/>
      <c r="I77" s="847" t="s">
        <v>207</v>
      </c>
      <c r="J77" s="848"/>
      <c r="K77" s="848"/>
      <c r="L77" s="848"/>
      <c r="M77" s="848"/>
      <c r="N77" s="849"/>
      <c r="O77" s="270">
        <f t="shared" si="2"/>
        <v>1000</v>
      </c>
      <c r="P77" s="331"/>
      <c r="Q77" s="332"/>
      <c r="R77" s="332"/>
      <c r="S77" s="332"/>
      <c r="T77" s="332"/>
      <c r="U77" s="332">
        <v>80</v>
      </c>
      <c r="V77" s="332">
        <v>240</v>
      </c>
      <c r="W77" s="332">
        <v>240</v>
      </c>
      <c r="X77" s="332">
        <v>240</v>
      </c>
      <c r="Y77" s="332"/>
      <c r="Z77" s="332">
        <v>200</v>
      </c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519"/>
    </row>
    <row r="78" spans="2:46" s="280" customFormat="1" ht="30" customHeight="1">
      <c r="B78" s="839" t="s">
        <v>43</v>
      </c>
      <c r="C78" s="491" t="s">
        <v>341</v>
      </c>
      <c r="D78" s="490" t="s">
        <v>127</v>
      </c>
      <c r="E78" s="490">
        <v>0</v>
      </c>
      <c r="F78" s="490" t="s">
        <v>205</v>
      </c>
      <c r="G78" s="490">
        <v>110</v>
      </c>
      <c r="H78" s="490">
        <v>1500</v>
      </c>
      <c r="I78" s="883" t="s">
        <v>206</v>
      </c>
      <c r="J78" s="884"/>
      <c r="K78" s="884"/>
      <c r="L78" s="884"/>
      <c r="M78" s="884"/>
      <c r="N78" s="885"/>
      <c r="O78" s="275">
        <f t="shared" si="2"/>
        <v>1500</v>
      </c>
      <c r="P78" s="276"/>
      <c r="Q78" s="277"/>
      <c r="R78" s="277"/>
      <c r="S78" s="277"/>
      <c r="T78" s="277"/>
      <c r="U78" s="277"/>
      <c r="V78" s="277"/>
      <c r="W78" s="277"/>
      <c r="X78" s="277"/>
      <c r="Y78" s="277"/>
      <c r="Z78" s="277">
        <v>160</v>
      </c>
      <c r="AA78" s="277">
        <v>240</v>
      </c>
      <c r="AB78" s="277">
        <v>240</v>
      </c>
      <c r="AC78" s="277">
        <v>240</v>
      </c>
      <c r="AD78" s="277">
        <v>240</v>
      </c>
      <c r="AE78" s="277">
        <v>240</v>
      </c>
      <c r="AF78" s="277"/>
      <c r="AG78" s="277">
        <v>140</v>
      </c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520"/>
    </row>
    <row r="79" spans="2:46" s="280" customFormat="1" ht="30" customHeight="1" thickBot="1">
      <c r="B79" s="840"/>
      <c r="C79" s="489"/>
      <c r="D79" s="489"/>
      <c r="E79" s="489"/>
      <c r="F79" s="489"/>
      <c r="G79" s="489"/>
      <c r="H79" s="489"/>
      <c r="I79" s="847" t="s">
        <v>207</v>
      </c>
      <c r="J79" s="848"/>
      <c r="K79" s="848"/>
      <c r="L79" s="848"/>
      <c r="M79" s="848"/>
      <c r="N79" s="849"/>
      <c r="O79" s="270">
        <f t="shared" si="2"/>
        <v>1500</v>
      </c>
      <c r="P79" s="331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>
        <v>240</v>
      </c>
      <c r="AB79" s="332">
        <v>240</v>
      </c>
      <c r="AC79" s="332">
        <v>240</v>
      </c>
      <c r="AD79" s="332">
        <v>240</v>
      </c>
      <c r="AE79" s="332">
        <v>240</v>
      </c>
      <c r="AF79" s="332"/>
      <c r="AG79" s="332">
        <v>240</v>
      </c>
      <c r="AH79" s="332">
        <v>60</v>
      </c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519"/>
    </row>
    <row r="80" spans="2:46" s="280" customFormat="1" ht="30" hidden="1" customHeight="1">
      <c r="B80" s="839"/>
      <c r="C80" s="841"/>
      <c r="D80" s="843"/>
      <c r="E80" s="843"/>
      <c r="F80" s="843"/>
      <c r="G80" s="843"/>
      <c r="H80" s="843"/>
      <c r="I80" s="844"/>
      <c r="J80" s="845"/>
      <c r="K80" s="845"/>
      <c r="L80" s="845"/>
      <c r="M80" s="845"/>
      <c r="N80" s="846"/>
      <c r="O80" s="275"/>
      <c r="P80" s="276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520"/>
    </row>
    <row r="81" spans="2:46" s="280" customFormat="1" ht="30" hidden="1" customHeight="1">
      <c r="B81" s="840"/>
      <c r="C81" s="842"/>
      <c r="D81" s="842"/>
      <c r="E81" s="842"/>
      <c r="F81" s="842"/>
      <c r="G81" s="842"/>
      <c r="H81" s="842"/>
      <c r="I81" s="847"/>
      <c r="J81" s="848"/>
      <c r="K81" s="848"/>
      <c r="L81" s="848"/>
      <c r="M81" s="848"/>
      <c r="N81" s="849"/>
      <c r="O81" s="270"/>
      <c r="P81" s="331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519"/>
    </row>
    <row r="82" spans="2:46" s="280" customFormat="1" ht="30" hidden="1" customHeight="1">
      <c r="B82" s="839"/>
      <c r="C82" s="841"/>
      <c r="D82" s="843"/>
      <c r="E82" s="843"/>
      <c r="F82" s="843"/>
      <c r="G82" s="843"/>
      <c r="H82" s="843"/>
      <c r="I82" s="844"/>
      <c r="J82" s="845"/>
      <c r="K82" s="845"/>
      <c r="L82" s="845"/>
      <c r="M82" s="845"/>
      <c r="N82" s="846"/>
      <c r="O82" s="275"/>
      <c r="P82" s="276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520"/>
    </row>
    <row r="83" spans="2:46" s="280" customFormat="1" ht="30" hidden="1" customHeight="1">
      <c r="B83" s="840"/>
      <c r="C83" s="842"/>
      <c r="D83" s="842"/>
      <c r="E83" s="842"/>
      <c r="F83" s="842"/>
      <c r="G83" s="842"/>
      <c r="H83" s="842"/>
      <c r="I83" s="847"/>
      <c r="J83" s="848"/>
      <c r="K83" s="848"/>
      <c r="L83" s="848"/>
      <c r="M83" s="848"/>
      <c r="N83" s="849"/>
      <c r="O83" s="270"/>
      <c r="P83" s="331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519"/>
    </row>
    <row r="84" spans="2:46" s="260" customFormat="1" ht="30" hidden="1" customHeight="1">
      <c r="B84" s="288"/>
      <c r="C84" s="289"/>
      <c r="D84" s="289"/>
      <c r="E84" s="289"/>
      <c r="F84" s="289"/>
      <c r="G84" s="289"/>
      <c r="H84" s="289"/>
      <c r="I84" s="290"/>
      <c r="J84" s="290"/>
      <c r="K84" s="291"/>
      <c r="L84" s="291"/>
      <c r="M84" s="292"/>
      <c r="N84" s="293"/>
      <c r="O84" s="294"/>
      <c r="P84" s="297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298"/>
      <c r="AQ84" s="298"/>
      <c r="AR84" s="298"/>
      <c r="AS84" s="298"/>
      <c r="AT84" s="521"/>
    </row>
    <row r="85" spans="2:46" s="260" customFormat="1" ht="30" hidden="1" customHeight="1">
      <c r="B85" s="288"/>
      <c r="C85" s="289"/>
      <c r="D85" s="289"/>
      <c r="E85" s="289"/>
      <c r="F85" s="289"/>
      <c r="G85" s="289"/>
      <c r="H85" s="289"/>
      <c r="I85" s="290"/>
      <c r="J85" s="290"/>
      <c r="K85" s="291"/>
      <c r="L85" s="291"/>
      <c r="M85" s="292"/>
      <c r="N85" s="293"/>
      <c r="O85" s="294"/>
      <c r="P85" s="297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298"/>
      <c r="AQ85" s="298"/>
      <c r="AR85" s="298"/>
      <c r="AS85" s="298"/>
      <c r="AT85" s="521"/>
    </row>
    <row r="86" spans="2:46" s="260" customFormat="1" ht="30" hidden="1" customHeight="1">
      <c r="B86" s="288"/>
      <c r="C86" s="289"/>
      <c r="D86" s="289"/>
      <c r="E86" s="289"/>
      <c r="F86" s="289"/>
      <c r="G86" s="289"/>
      <c r="H86" s="289"/>
      <c r="I86" s="290"/>
      <c r="J86" s="290"/>
      <c r="K86" s="291"/>
      <c r="L86" s="291"/>
      <c r="M86" s="292"/>
      <c r="N86" s="293"/>
      <c r="O86" s="294"/>
      <c r="P86" s="29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521"/>
    </row>
    <row r="87" spans="2:46" s="260" customFormat="1" ht="30" hidden="1" customHeight="1" thickBot="1">
      <c r="B87" s="317"/>
      <c r="C87" s="318"/>
      <c r="D87" s="318"/>
      <c r="E87" s="318"/>
      <c r="F87" s="318"/>
      <c r="G87" s="318"/>
      <c r="H87" s="318"/>
      <c r="I87" s="319"/>
      <c r="J87" s="319"/>
      <c r="K87" s="320"/>
      <c r="L87" s="320"/>
      <c r="M87" s="321"/>
      <c r="N87" s="322"/>
      <c r="O87" s="323"/>
      <c r="P87" s="285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522"/>
    </row>
    <row r="88" spans="2:46" s="305" customFormat="1" ht="30" customHeight="1">
      <c r="B88" s="300"/>
      <c r="C88" s="301"/>
      <c r="D88" s="301"/>
      <c r="E88" s="302"/>
      <c r="F88" s="302"/>
      <c r="G88" s="302"/>
      <c r="H88" s="303"/>
      <c r="I88" s="850" t="s">
        <v>206</v>
      </c>
      <c r="J88" s="851"/>
      <c r="K88" s="851"/>
      <c r="L88" s="851"/>
      <c r="M88" s="851"/>
      <c r="N88" s="852"/>
      <c r="O88" s="304">
        <f>SUM(O74,O76,O78,O80,O82)</f>
        <v>3460</v>
      </c>
      <c r="P88" s="324"/>
      <c r="Q88" s="324"/>
      <c r="R88" s="324"/>
      <c r="S88" s="324"/>
      <c r="T88" s="324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24"/>
      <c r="AN88" s="324"/>
      <c r="AO88" s="324"/>
      <c r="AP88" s="324"/>
      <c r="AQ88" s="301"/>
      <c r="AR88" s="301"/>
      <c r="AS88" s="301"/>
      <c r="AT88" s="523"/>
    </row>
    <row r="89" spans="2:46" s="305" customFormat="1" ht="30" customHeight="1" thickBot="1">
      <c r="B89" s="306"/>
      <c r="C89" s="307"/>
      <c r="D89" s="307"/>
      <c r="E89" s="308"/>
      <c r="F89" s="308"/>
      <c r="G89" s="308"/>
      <c r="H89" s="309"/>
      <c r="I89" s="836" t="s">
        <v>207</v>
      </c>
      <c r="J89" s="837"/>
      <c r="K89" s="837"/>
      <c r="L89" s="837"/>
      <c r="M89" s="837"/>
      <c r="N89" s="838"/>
      <c r="O89" s="310">
        <f>SUM(O75,O77,O79,O81,O83)</f>
        <v>3580</v>
      </c>
      <c r="P89" s="326"/>
      <c r="Q89" s="326"/>
      <c r="R89" s="326"/>
      <c r="S89" s="326"/>
      <c r="T89" s="326"/>
      <c r="U89" s="334"/>
      <c r="V89" s="334"/>
      <c r="W89" s="334"/>
      <c r="X89" s="334"/>
      <c r="Y89" s="334"/>
      <c r="Z89" s="334"/>
      <c r="AA89" s="334"/>
      <c r="AB89" s="334"/>
      <c r="AC89" s="334"/>
      <c r="AD89" s="334"/>
      <c r="AE89" s="334"/>
      <c r="AF89" s="334"/>
      <c r="AG89" s="334"/>
      <c r="AH89" s="334"/>
      <c r="AI89" s="334"/>
      <c r="AJ89" s="334"/>
      <c r="AK89" s="334"/>
      <c r="AL89" s="334"/>
      <c r="AM89" s="326"/>
      <c r="AN89" s="326"/>
      <c r="AO89" s="326"/>
      <c r="AP89" s="326"/>
      <c r="AQ89" s="334"/>
      <c r="AR89" s="334"/>
      <c r="AS89" s="334"/>
      <c r="AT89" s="524"/>
    </row>
  </sheetData>
  <mergeCells count="204">
    <mergeCell ref="AF67:AH67"/>
    <mergeCell ref="AN67:AP67"/>
    <mergeCell ref="V3:W3"/>
    <mergeCell ref="I5:J5"/>
    <mergeCell ref="N5:O5"/>
    <mergeCell ref="B6:B7"/>
    <mergeCell ref="C6:C7"/>
    <mergeCell ref="D6:D7"/>
    <mergeCell ref="E6:G6"/>
    <mergeCell ref="H6:H7"/>
    <mergeCell ref="I6:N7"/>
    <mergeCell ref="O6:O7"/>
    <mergeCell ref="H8:H9"/>
    <mergeCell ref="I8:N8"/>
    <mergeCell ref="I9:N9"/>
    <mergeCell ref="B10:B11"/>
    <mergeCell ref="C10:C11"/>
    <mergeCell ref="D10:D11"/>
    <mergeCell ref="E10:E11"/>
    <mergeCell ref="F10:F11"/>
    <mergeCell ref="G10:G11"/>
    <mergeCell ref="H10:H11"/>
    <mergeCell ref="B8:B9"/>
    <mergeCell ref="C8:C9"/>
    <mergeCell ref="D8:D9"/>
    <mergeCell ref="E8:E9"/>
    <mergeCell ref="F8:F9"/>
    <mergeCell ref="G8:G9"/>
    <mergeCell ref="I10:N10"/>
    <mergeCell ref="I11:N11"/>
    <mergeCell ref="B12:B13"/>
    <mergeCell ref="C12:C13"/>
    <mergeCell ref="D12:D13"/>
    <mergeCell ref="E12:E13"/>
    <mergeCell ref="F12:F13"/>
    <mergeCell ref="G12:G13"/>
    <mergeCell ref="H12:H13"/>
    <mergeCell ref="I12:N12"/>
    <mergeCell ref="B16:B17"/>
    <mergeCell ref="C16:C17"/>
    <mergeCell ref="D16:D17"/>
    <mergeCell ref="E16:E17"/>
    <mergeCell ref="F16:F17"/>
    <mergeCell ref="G16:G17"/>
    <mergeCell ref="I13:N13"/>
    <mergeCell ref="B14:B15"/>
    <mergeCell ref="C14:C15"/>
    <mergeCell ref="D14:D15"/>
    <mergeCell ref="E14:E15"/>
    <mergeCell ref="F14:F15"/>
    <mergeCell ref="G14:G15"/>
    <mergeCell ref="H14:H15"/>
    <mergeCell ref="I14:N14"/>
    <mergeCell ref="I15:N15"/>
    <mergeCell ref="AI22:AM22"/>
    <mergeCell ref="AN22:AQ22"/>
    <mergeCell ref="I23:N23"/>
    <mergeCell ref="AI23:AL23"/>
    <mergeCell ref="AI24:AL24"/>
    <mergeCell ref="H16:H17"/>
    <mergeCell ref="I16:N16"/>
    <mergeCell ref="I17:N17"/>
    <mergeCell ref="I22:N22"/>
    <mergeCell ref="AA22:AD22"/>
    <mergeCell ref="AE22:AH22"/>
    <mergeCell ref="I28:J28"/>
    <mergeCell ref="N28:O28"/>
    <mergeCell ref="B29:B30"/>
    <mergeCell ref="C29:C30"/>
    <mergeCell ref="D29:D30"/>
    <mergeCell ref="E29:G29"/>
    <mergeCell ref="H29:H30"/>
    <mergeCell ref="I29:N30"/>
    <mergeCell ref="O29:O30"/>
    <mergeCell ref="H31:H32"/>
    <mergeCell ref="I31:N31"/>
    <mergeCell ref="I32:N32"/>
    <mergeCell ref="T32:U32"/>
    <mergeCell ref="B33:B34"/>
    <mergeCell ref="C33:C34"/>
    <mergeCell ref="D33:D34"/>
    <mergeCell ref="E33:E34"/>
    <mergeCell ref="F33:F34"/>
    <mergeCell ref="G33:G34"/>
    <mergeCell ref="B31:B32"/>
    <mergeCell ref="C31:C32"/>
    <mergeCell ref="D31:D32"/>
    <mergeCell ref="E31:E32"/>
    <mergeCell ref="F31:F32"/>
    <mergeCell ref="G31:G32"/>
    <mergeCell ref="H33:H34"/>
    <mergeCell ref="I33:N33"/>
    <mergeCell ref="I34:N34"/>
    <mergeCell ref="T34:U34"/>
    <mergeCell ref="B35:B36"/>
    <mergeCell ref="C35:C36"/>
    <mergeCell ref="D35:D36"/>
    <mergeCell ref="E35:E36"/>
    <mergeCell ref="F35:F36"/>
    <mergeCell ref="G35:G36"/>
    <mergeCell ref="H35:H36"/>
    <mergeCell ref="I35:N35"/>
    <mergeCell ref="I36:N36"/>
    <mergeCell ref="I46:N46"/>
    <mergeCell ref="AP46:AR46"/>
    <mergeCell ref="AS46:AU46"/>
    <mergeCell ref="V49:W49"/>
    <mergeCell ref="I37:N37"/>
    <mergeCell ref="I38:N38"/>
    <mergeCell ref="B39:B40"/>
    <mergeCell ref="C39:C40"/>
    <mergeCell ref="D39:D40"/>
    <mergeCell ref="E39:E40"/>
    <mergeCell ref="F39:F40"/>
    <mergeCell ref="G39:G40"/>
    <mergeCell ref="H39:H40"/>
    <mergeCell ref="I39:N39"/>
    <mergeCell ref="B37:B38"/>
    <mergeCell ref="C37:C38"/>
    <mergeCell ref="D37:D38"/>
    <mergeCell ref="E37:E38"/>
    <mergeCell ref="F37:F38"/>
    <mergeCell ref="G37:G38"/>
    <mergeCell ref="H37:H38"/>
    <mergeCell ref="I40:N40"/>
    <mergeCell ref="I45:N45"/>
    <mergeCell ref="I51:J51"/>
    <mergeCell ref="N51:O51"/>
    <mergeCell ref="B52:B53"/>
    <mergeCell ref="C52:C53"/>
    <mergeCell ref="D52:D53"/>
    <mergeCell ref="E52:G52"/>
    <mergeCell ref="H52:H53"/>
    <mergeCell ref="I52:N53"/>
    <mergeCell ref="O52:O53"/>
    <mergeCell ref="B58:B59"/>
    <mergeCell ref="I58:N58"/>
    <mergeCell ref="I59:N59"/>
    <mergeCell ref="B60:B61"/>
    <mergeCell ref="I60:N60"/>
    <mergeCell ref="I61:N61"/>
    <mergeCell ref="H54:H55"/>
    <mergeCell ref="I54:N54"/>
    <mergeCell ref="I55:N55"/>
    <mergeCell ref="B56:B57"/>
    <mergeCell ref="I56:N56"/>
    <mergeCell ref="I57:N57"/>
    <mergeCell ref="B54:B55"/>
    <mergeCell ref="C54:C55"/>
    <mergeCell ref="D54:D55"/>
    <mergeCell ref="E54:E55"/>
    <mergeCell ref="F54:F55"/>
    <mergeCell ref="G54:G55"/>
    <mergeCell ref="H62:H63"/>
    <mergeCell ref="I62:N62"/>
    <mergeCell ref="I63:N63"/>
    <mergeCell ref="I66:N66"/>
    <mergeCell ref="I67:N67"/>
    <mergeCell ref="V69:W69"/>
    <mergeCell ref="B62:B63"/>
    <mergeCell ref="C62:C63"/>
    <mergeCell ref="D62:D63"/>
    <mergeCell ref="E62:E63"/>
    <mergeCell ref="F62:F63"/>
    <mergeCell ref="G62:G63"/>
    <mergeCell ref="R67:T67"/>
    <mergeCell ref="B74:B75"/>
    <mergeCell ref="I74:N74"/>
    <mergeCell ref="I75:N75"/>
    <mergeCell ref="B76:B77"/>
    <mergeCell ref="I76:N76"/>
    <mergeCell ref="I77:N77"/>
    <mergeCell ref="I71:J71"/>
    <mergeCell ref="N71:O71"/>
    <mergeCell ref="B72:B73"/>
    <mergeCell ref="C72:C73"/>
    <mergeCell ref="D72:D73"/>
    <mergeCell ref="E72:G72"/>
    <mergeCell ref="H72:H73"/>
    <mergeCell ref="I72:N73"/>
    <mergeCell ref="O72:O73"/>
    <mergeCell ref="B78:B79"/>
    <mergeCell ref="I78:N78"/>
    <mergeCell ref="I79:N79"/>
    <mergeCell ref="B80:B81"/>
    <mergeCell ref="C80:C81"/>
    <mergeCell ref="D80:D81"/>
    <mergeCell ref="E80:E81"/>
    <mergeCell ref="F80:F81"/>
    <mergeCell ref="G80:G81"/>
    <mergeCell ref="H80:H81"/>
    <mergeCell ref="I83:N83"/>
    <mergeCell ref="I88:N88"/>
    <mergeCell ref="I89:N89"/>
    <mergeCell ref="I80:N80"/>
    <mergeCell ref="I81:N81"/>
    <mergeCell ref="B82:B83"/>
    <mergeCell ref="C82:C83"/>
    <mergeCell ref="D82:D83"/>
    <mergeCell ref="E82:E83"/>
    <mergeCell ref="F82:F83"/>
    <mergeCell ref="G82:G83"/>
    <mergeCell ref="H82:H83"/>
    <mergeCell ref="I82:N82"/>
  </mergeCells>
  <conditionalFormatting sqref="P32:T32 P34:T34 P31:AT31 P33:AT33">
    <cfRule type="cellIs" dxfId="42" priority="22" operator="greaterThan">
      <formula>0</formula>
    </cfRule>
  </conditionalFormatting>
  <conditionalFormatting sqref="P32:T32">
    <cfRule type="cellIs" dxfId="41" priority="21" operator="greaterThan">
      <formula>0</formula>
    </cfRule>
  </conditionalFormatting>
  <conditionalFormatting sqref="P34:T34">
    <cfRule type="cellIs" dxfId="40" priority="20" operator="greaterThan">
      <formula>0</formula>
    </cfRule>
  </conditionalFormatting>
  <conditionalFormatting sqref="P8:AQ13 P16:AQ21 V32:AT32 V34:AT34 P54:AS65">
    <cfRule type="cellIs" dxfId="39" priority="24" operator="greaterThan">
      <formula>0</formula>
    </cfRule>
  </conditionalFormatting>
  <conditionalFormatting sqref="P9:AQ9 P11:AQ11 P13:AQ13 P17:AQ17 V32:AT32 V34:AT34 P55:AS55 P57:AS57 P59:AS59 P61:AS61 P63:AS63">
    <cfRule type="cellIs" dxfId="38" priority="23" operator="greaterThan">
      <formula>0</formula>
    </cfRule>
  </conditionalFormatting>
  <conditionalFormatting sqref="P14:AQ15">
    <cfRule type="cellIs" dxfId="37" priority="14" operator="greaterThan">
      <formula>0</formula>
    </cfRule>
  </conditionalFormatting>
  <conditionalFormatting sqref="P15:AQ15">
    <cfRule type="cellIs" dxfId="36" priority="13" operator="greaterThan">
      <formula>0</formula>
    </cfRule>
  </conditionalFormatting>
  <conditionalFormatting sqref="P35:AT44">
    <cfRule type="cellIs" dxfId="35" priority="5" operator="greaterThan">
      <formula>0</formula>
    </cfRule>
  </conditionalFormatting>
  <conditionalFormatting sqref="P36:AT36">
    <cfRule type="cellIs" dxfId="34" priority="1" operator="greaterThan">
      <formula>0</formula>
    </cfRule>
  </conditionalFormatting>
  <conditionalFormatting sqref="P38:AT38">
    <cfRule type="cellIs" dxfId="33" priority="3" operator="greaterThan">
      <formula>0</formula>
    </cfRule>
  </conditionalFormatting>
  <conditionalFormatting sqref="P40:AT40">
    <cfRule type="cellIs" dxfId="32" priority="2" operator="greaterThan">
      <formula>0</formula>
    </cfRule>
  </conditionalFormatting>
  <conditionalFormatting sqref="P74:AT75 P78:AT87">
    <cfRule type="cellIs" dxfId="31" priority="12" operator="greaterThan">
      <formula>0</formula>
    </cfRule>
  </conditionalFormatting>
  <conditionalFormatting sqref="P75:AT75 P79:AT79 P81:AT81 P83:AT83">
    <cfRule type="cellIs" dxfId="30" priority="11" operator="greaterThan">
      <formula>0</formula>
    </cfRule>
  </conditionalFormatting>
  <conditionalFormatting sqref="P76:AT77">
    <cfRule type="cellIs" dxfId="29" priority="7" operator="greaterThan">
      <formula>0</formula>
    </cfRule>
  </conditionalFormatting>
  <conditionalFormatting sqref="P77:AT77">
    <cfRule type="cellIs" dxfId="28" priority="6" operator="greaterThan">
      <formula>0</formula>
    </cfRule>
  </conditionalFormatting>
  <pageMargins left="0" right="0" top="0" bottom="0" header="0.31496062992125984" footer="0.31496062992125984"/>
  <pageSetup scale="45" orientation="landscape" horizontalDpi="360" verticalDpi="36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B1:AY89"/>
  <sheetViews>
    <sheetView topLeftCell="A29" zoomScale="90" zoomScaleNormal="90" zoomScaleSheetLayoutView="70" workbookViewId="0">
      <pane xSplit="15" topLeftCell="AL1" activePane="topRight" state="frozen"/>
      <selection pane="topRight" activeCell="AN36" sqref="AN36:AT40"/>
    </sheetView>
  </sheetViews>
  <sheetFormatPr defaultColWidth="6.08203125" defaultRowHeight="18" customHeight="1"/>
  <cols>
    <col min="1" max="1" width="0.9140625" style="245" customWidth="1"/>
    <col min="2" max="2" width="2.6640625" style="245" customWidth="1"/>
    <col min="3" max="3" width="10.25" style="245" customWidth="1"/>
    <col min="4" max="4" width="10.6640625" style="245" customWidth="1"/>
    <col min="5" max="5" width="9.1640625" style="245" customWidth="1"/>
    <col min="6" max="6" width="9.75" style="245" hidden="1" customWidth="1"/>
    <col min="7" max="7" width="3.75" style="245" customWidth="1"/>
    <col min="8" max="8" width="5.25" style="245" customWidth="1"/>
    <col min="9" max="13" width="3.5" style="245" customWidth="1"/>
    <col min="14" max="14" width="6.1640625" style="245" customWidth="1"/>
    <col min="15" max="15" width="5.9140625" style="245" customWidth="1"/>
    <col min="16" max="46" width="3.4140625" style="245" customWidth="1"/>
    <col min="47" max="47" width="2.1640625" style="245" customWidth="1"/>
    <col min="48" max="48" width="7.58203125" style="245" customWidth="1"/>
    <col min="49" max="49" width="8.4140625" style="245" customWidth="1"/>
    <col min="50" max="16384" width="6.08203125" style="245"/>
  </cols>
  <sheetData>
    <row r="1" spans="2:48" ht="9.9499999999999993" customHeight="1"/>
    <row r="2" spans="2:48" ht="18" customHeight="1">
      <c r="D2" s="246" t="s">
        <v>192</v>
      </c>
    </row>
    <row r="3" spans="2:48" ht="18" customHeight="1">
      <c r="D3" s="247" t="s">
        <v>193</v>
      </c>
      <c r="V3" s="869"/>
      <c r="W3" s="869"/>
    </row>
    <row r="4" spans="2:48" ht="5.25" customHeight="1"/>
    <row r="5" spans="2:48" s="248" customFormat="1" ht="16.5" customHeight="1" thickBot="1">
      <c r="E5" s="249" t="s">
        <v>194</v>
      </c>
      <c r="F5" s="250">
        <f>I5-N5</f>
        <v>7</v>
      </c>
      <c r="G5" s="251"/>
      <c r="H5" s="249" t="s">
        <v>195</v>
      </c>
      <c r="I5" s="854">
        <v>20</v>
      </c>
      <c r="J5" s="854"/>
      <c r="K5" s="252"/>
      <c r="M5" s="249" t="s">
        <v>196</v>
      </c>
      <c r="N5" s="855">
        <f>COUNT(P7:AP7)</f>
        <v>13</v>
      </c>
      <c r="O5" s="855"/>
      <c r="P5" s="253" t="s">
        <v>119</v>
      </c>
      <c r="Q5" s="253" t="s">
        <v>120</v>
      </c>
      <c r="R5" s="253" t="s">
        <v>121</v>
      </c>
      <c r="S5" s="253" t="s">
        <v>122</v>
      </c>
      <c r="T5" s="253" t="s">
        <v>121</v>
      </c>
      <c r="U5" s="253" t="s">
        <v>123</v>
      </c>
      <c r="V5" s="253" t="s">
        <v>119</v>
      </c>
      <c r="W5" s="253" t="s">
        <v>119</v>
      </c>
      <c r="X5" s="253" t="s">
        <v>120</v>
      </c>
      <c r="Y5" s="253" t="s">
        <v>121</v>
      </c>
      <c r="Z5" s="253" t="s">
        <v>122</v>
      </c>
      <c r="AA5" s="253" t="s">
        <v>121</v>
      </c>
      <c r="AB5" s="253" t="s">
        <v>123</v>
      </c>
      <c r="AC5" s="253" t="s">
        <v>119</v>
      </c>
      <c r="AD5" s="253" t="s">
        <v>119</v>
      </c>
      <c r="AE5" s="253" t="s">
        <v>120</v>
      </c>
      <c r="AF5" s="253" t="s">
        <v>121</v>
      </c>
      <c r="AG5" s="253" t="s">
        <v>122</v>
      </c>
      <c r="AH5" s="253" t="s">
        <v>121</v>
      </c>
      <c r="AI5" s="253" t="s">
        <v>123</v>
      </c>
      <c r="AJ5" s="253" t="s">
        <v>119</v>
      </c>
      <c r="AK5" s="253" t="s">
        <v>119</v>
      </c>
      <c r="AL5" s="253" t="s">
        <v>120</v>
      </c>
      <c r="AM5" s="253" t="s">
        <v>121</v>
      </c>
      <c r="AN5" s="253" t="s">
        <v>122</v>
      </c>
      <c r="AO5" s="253" t="s">
        <v>121</v>
      </c>
      <c r="AP5" s="253" t="s">
        <v>123</v>
      </c>
      <c r="AQ5" s="253" t="s">
        <v>119</v>
      </c>
      <c r="AR5" s="245"/>
      <c r="AS5" s="245"/>
      <c r="AT5" s="245"/>
    </row>
    <row r="6" spans="2:48" s="260" customFormat="1" ht="18" customHeight="1" thickBot="1">
      <c r="B6" s="856" t="s">
        <v>115</v>
      </c>
      <c r="C6" s="858" t="s">
        <v>117</v>
      </c>
      <c r="D6" s="858" t="s">
        <v>116</v>
      </c>
      <c r="E6" s="858" t="s">
        <v>197</v>
      </c>
      <c r="F6" s="858"/>
      <c r="G6" s="858"/>
      <c r="H6" s="860" t="s">
        <v>198</v>
      </c>
      <c r="I6" s="861" t="s">
        <v>199</v>
      </c>
      <c r="J6" s="862"/>
      <c r="K6" s="862"/>
      <c r="L6" s="862"/>
      <c r="M6" s="862"/>
      <c r="N6" s="863"/>
      <c r="O6" s="867" t="s">
        <v>200</v>
      </c>
      <c r="P6" s="254">
        <v>1</v>
      </c>
      <c r="Q6" s="255">
        <v>2</v>
      </c>
      <c r="R6" s="255">
        <v>3</v>
      </c>
      <c r="S6" s="255">
        <v>4</v>
      </c>
      <c r="T6" s="255">
        <v>5</v>
      </c>
      <c r="U6" s="255">
        <v>6</v>
      </c>
      <c r="V6" s="256">
        <v>7</v>
      </c>
      <c r="W6" s="257">
        <v>8</v>
      </c>
      <c r="X6" s="255">
        <v>9</v>
      </c>
      <c r="Y6" s="255">
        <v>10</v>
      </c>
      <c r="Z6" s="255">
        <v>11</v>
      </c>
      <c r="AA6" s="255">
        <v>12</v>
      </c>
      <c r="AB6" s="255">
        <v>13</v>
      </c>
      <c r="AC6" s="256">
        <v>14</v>
      </c>
      <c r="AD6" s="257">
        <v>15</v>
      </c>
      <c r="AE6" s="258">
        <v>16</v>
      </c>
      <c r="AF6" s="257">
        <v>17</v>
      </c>
      <c r="AG6" s="255">
        <v>18</v>
      </c>
      <c r="AH6" s="255">
        <v>19</v>
      </c>
      <c r="AI6" s="255">
        <v>20</v>
      </c>
      <c r="AJ6" s="256">
        <v>21</v>
      </c>
      <c r="AK6" s="257">
        <v>22</v>
      </c>
      <c r="AL6" s="255">
        <v>23</v>
      </c>
      <c r="AM6" s="255">
        <v>24</v>
      </c>
      <c r="AN6" s="255">
        <v>25</v>
      </c>
      <c r="AO6" s="255">
        <v>26</v>
      </c>
      <c r="AP6" s="255">
        <v>27</v>
      </c>
      <c r="AQ6" s="259">
        <v>28</v>
      </c>
      <c r="AR6" s="245"/>
      <c r="AS6" s="245"/>
      <c r="AT6" s="245"/>
    </row>
    <row r="7" spans="2:48" s="260" customFormat="1" ht="17.25" customHeight="1" thickBot="1">
      <c r="B7" s="857"/>
      <c r="C7" s="859"/>
      <c r="D7" s="859"/>
      <c r="E7" s="261" t="s">
        <v>201</v>
      </c>
      <c r="F7" s="261" t="s">
        <v>202</v>
      </c>
      <c r="G7" s="261" t="s">
        <v>203</v>
      </c>
      <c r="H7" s="859"/>
      <c r="I7" s="864"/>
      <c r="J7" s="865"/>
      <c r="K7" s="865"/>
      <c r="L7" s="865"/>
      <c r="M7" s="865"/>
      <c r="N7" s="866"/>
      <c r="O7" s="868"/>
      <c r="P7" s="262"/>
      <c r="Q7" s="263"/>
      <c r="R7" s="263"/>
      <c r="S7" s="263"/>
      <c r="T7" s="263"/>
      <c r="U7" s="263"/>
      <c r="V7" s="263"/>
      <c r="W7" s="263"/>
      <c r="X7" s="263">
        <v>2</v>
      </c>
      <c r="Y7" s="263">
        <v>2</v>
      </c>
      <c r="Z7" s="263">
        <v>2</v>
      </c>
      <c r="AA7" s="263">
        <v>2</v>
      </c>
      <c r="AB7" s="263">
        <v>2</v>
      </c>
      <c r="AC7" s="263">
        <v>2</v>
      </c>
      <c r="AD7" s="263"/>
      <c r="AE7" s="263">
        <v>2</v>
      </c>
      <c r="AF7" s="263">
        <v>2</v>
      </c>
      <c r="AG7" s="263">
        <v>2</v>
      </c>
      <c r="AH7" s="263">
        <v>2</v>
      </c>
      <c r="AI7" s="263">
        <v>1</v>
      </c>
      <c r="AJ7" s="263"/>
      <c r="AK7" s="263"/>
      <c r="AL7" s="263"/>
      <c r="AM7" s="263"/>
      <c r="AN7" s="263"/>
      <c r="AO7" s="263">
        <v>2</v>
      </c>
      <c r="AP7" s="263">
        <v>2</v>
      </c>
      <c r="AQ7" s="264">
        <v>2</v>
      </c>
      <c r="AR7" s="245"/>
      <c r="AS7" s="245"/>
      <c r="AT7" s="245"/>
    </row>
    <row r="8" spans="2:48" s="260" customFormat="1" ht="30" customHeight="1">
      <c r="B8" s="853" t="s">
        <v>41</v>
      </c>
      <c r="C8" s="882" t="s">
        <v>256</v>
      </c>
      <c r="D8" s="882" t="s">
        <v>127</v>
      </c>
      <c r="E8" s="882" t="s">
        <v>204</v>
      </c>
      <c r="F8" s="882" t="s">
        <v>205</v>
      </c>
      <c r="G8" s="882">
        <v>35</v>
      </c>
      <c r="H8" s="882">
        <v>1000</v>
      </c>
      <c r="I8" s="844" t="s">
        <v>206</v>
      </c>
      <c r="J8" s="845"/>
      <c r="K8" s="845"/>
      <c r="L8" s="845"/>
      <c r="M8" s="845"/>
      <c r="N8" s="846"/>
      <c r="O8" s="265">
        <f>SUM(P8:AP8)</f>
        <v>450</v>
      </c>
      <c r="P8" s="266"/>
      <c r="Q8" s="267"/>
      <c r="R8" s="267"/>
      <c r="S8" s="267"/>
      <c r="T8" s="267"/>
      <c r="U8" s="267">
        <v>150</v>
      </c>
      <c r="V8" s="267"/>
      <c r="W8" s="267"/>
      <c r="X8" s="267">
        <v>160</v>
      </c>
      <c r="Y8" s="267">
        <v>140</v>
      </c>
      <c r="Z8" s="267"/>
      <c r="AA8" s="267"/>
      <c r="AB8" s="267"/>
      <c r="AC8" s="267"/>
      <c r="AD8" s="268"/>
      <c r="AE8" s="268"/>
      <c r="AF8" s="268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9"/>
    </row>
    <row r="9" spans="2:48" s="260" customFormat="1" ht="30" customHeight="1">
      <c r="B9" s="840"/>
      <c r="C9" s="842"/>
      <c r="D9" s="842"/>
      <c r="E9" s="842"/>
      <c r="F9" s="842"/>
      <c r="G9" s="842"/>
      <c r="H9" s="842"/>
      <c r="I9" s="847" t="s">
        <v>207</v>
      </c>
      <c r="J9" s="848"/>
      <c r="K9" s="848"/>
      <c r="L9" s="848"/>
      <c r="M9" s="848"/>
      <c r="N9" s="849"/>
      <c r="O9" s="270">
        <f>SUM(P9:AQ9)</f>
        <v>460</v>
      </c>
      <c r="P9" s="271"/>
      <c r="Q9" s="272"/>
      <c r="R9" s="272"/>
      <c r="S9" s="272"/>
      <c r="T9" s="272"/>
      <c r="U9" s="272"/>
      <c r="V9" s="272"/>
      <c r="W9" s="272"/>
      <c r="X9" s="272">
        <v>240</v>
      </c>
      <c r="Y9" s="272">
        <v>220</v>
      </c>
      <c r="Z9" s="272"/>
      <c r="AA9" s="272"/>
      <c r="AB9" s="272"/>
      <c r="AC9" s="272"/>
      <c r="AD9" s="273"/>
      <c r="AE9" s="273"/>
      <c r="AF9" s="273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4"/>
    </row>
    <row r="10" spans="2:48" s="280" customFormat="1" ht="30" customHeight="1">
      <c r="B10" s="839" t="s">
        <v>42</v>
      </c>
      <c r="C10" s="843" t="s">
        <v>257</v>
      </c>
      <c r="D10" s="843" t="s">
        <v>127</v>
      </c>
      <c r="E10" s="843" t="s">
        <v>138</v>
      </c>
      <c r="F10" s="843" t="s">
        <v>208</v>
      </c>
      <c r="G10" s="843">
        <v>50</v>
      </c>
      <c r="H10" s="843">
        <v>1000</v>
      </c>
      <c r="I10" s="844" t="s">
        <v>206</v>
      </c>
      <c r="J10" s="845"/>
      <c r="K10" s="845"/>
      <c r="L10" s="845"/>
      <c r="M10" s="845"/>
      <c r="N10" s="846"/>
      <c r="O10" s="275">
        <f>SUM(P10:AP10)</f>
        <v>1000</v>
      </c>
      <c r="P10" s="276"/>
      <c r="Q10" s="277"/>
      <c r="R10" s="277"/>
      <c r="S10" s="277"/>
      <c r="T10" s="277"/>
      <c r="U10" s="277"/>
      <c r="V10" s="277"/>
      <c r="W10" s="277"/>
      <c r="X10" s="277"/>
      <c r="Y10" s="277">
        <v>80</v>
      </c>
      <c r="Z10" s="277">
        <v>240</v>
      </c>
      <c r="AA10" s="277">
        <v>240</v>
      </c>
      <c r="AB10" s="277">
        <v>240</v>
      </c>
      <c r="AC10" s="277">
        <v>200</v>
      </c>
      <c r="AD10" s="278"/>
      <c r="AE10" s="278"/>
      <c r="AF10" s="278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9"/>
    </row>
    <row r="11" spans="2:48" s="280" customFormat="1" ht="30" customHeight="1">
      <c r="B11" s="840"/>
      <c r="C11" s="842"/>
      <c r="D11" s="842"/>
      <c r="E11" s="842"/>
      <c r="F11" s="842"/>
      <c r="G11" s="842"/>
      <c r="H11" s="842"/>
      <c r="I11" s="847" t="s">
        <v>207</v>
      </c>
      <c r="J11" s="848"/>
      <c r="K11" s="848"/>
      <c r="L11" s="848"/>
      <c r="M11" s="848"/>
      <c r="N11" s="849"/>
      <c r="O11" s="270">
        <f>SUM(P11:AQ11)</f>
        <v>960</v>
      </c>
      <c r="P11" s="271"/>
      <c r="Q11" s="272"/>
      <c r="R11" s="272"/>
      <c r="S11" s="272"/>
      <c r="T11" s="272"/>
      <c r="U11" s="272"/>
      <c r="V11" s="272"/>
      <c r="W11" s="272"/>
      <c r="X11" s="272"/>
      <c r="Y11" s="272">
        <v>60</v>
      </c>
      <c r="Z11" s="272">
        <v>240</v>
      </c>
      <c r="AA11" s="272">
        <v>240</v>
      </c>
      <c r="AB11" s="272">
        <v>240</v>
      </c>
      <c r="AC11" s="272">
        <v>180</v>
      </c>
      <c r="AD11" s="273"/>
      <c r="AE11" s="273"/>
      <c r="AF11" s="273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4"/>
    </row>
    <row r="12" spans="2:48" s="280" customFormat="1" ht="30" customHeight="1">
      <c r="B12" s="839" t="s">
        <v>44</v>
      </c>
      <c r="C12" s="843" t="s">
        <v>258</v>
      </c>
      <c r="D12" s="843" t="s">
        <v>127</v>
      </c>
      <c r="E12" s="843" t="s">
        <v>204</v>
      </c>
      <c r="F12" s="843" t="s">
        <v>205</v>
      </c>
      <c r="G12" s="843">
        <v>35</v>
      </c>
      <c r="H12" s="843">
        <v>500</v>
      </c>
      <c r="I12" s="844" t="s">
        <v>206</v>
      </c>
      <c r="J12" s="845"/>
      <c r="K12" s="845"/>
      <c r="L12" s="845"/>
      <c r="M12" s="845"/>
      <c r="N12" s="846"/>
      <c r="O12" s="275">
        <f>SUM(P12:AQ12)</f>
        <v>500</v>
      </c>
      <c r="P12" s="276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8"/>
      <c r="AE12" s="278"/>
      <c r="AF12" s="278"/>
      <c r="AG12" s="277">
        <v>180</v>
      </c>
      <c r="AH12" s="277">
        <v>240</v>
      </c>
      <c r="AI12" s="277">
        <v>80</v>
      </c>
      <c r="AJ12" s="277"/>
      <c r="AK12" s="277"/>
      <c r="AL12" s="277"/>
      <c r="AM12" s="277"/>
      <c r="AN12" s="277"/>
      <c r="AO12" s="277"/>
      <c r="AP12" s="277"/>
      <c r="AQ12" s="279"/>
    </row>
    <row r="13" spans="2:48" s="280" customFormat="1" ht="30" customHeight="1" thickBot="1">
      <c r="B13" s="840"/>
      <c r="C13" s="842"/>
      <c r="D13" s="842"/>
      <c r="E13" s="842"/>
      <c r="F13" s="842"/>
      <c r="G13" s="842"/>
      <c r="H13" s="842"/>
      <c r="I13" s="847" t="s">
        <v>207</v>
      </c>
      <c r="J13" s="848"/>
      <c r="K13" s="848"/>
      <c r="L13" s="848"/>
      <c r="M13" s="848"/>
      <c r="N13" s="849"/>
      <c r="O13" s="270">
        <f>SUM(P13:AQ13)</f>
        <v>320</v>
      </c>
      <c r="P13" s="271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3"/>
      <c r="AE13" s="273"/>
      <c r="AF13" s="273"/>
      <c r="AG13" s="272">
        <v>60</v>
      </c>
      <c r="AH13" s="272">
        <v>140</v>
      </c>
      <c r="AI13" s="272">
        <v>120</v>
      </c>
      <c r="AJ13" s="272"/>
      <c r="AK13" s="272"/>
      <c r="AL13" s="272"/>
      <c r="AM13" s="272"/>
      <c r="AN13" s="272"/>
      <c r="AO13" s="272"/>
      <c r="AP13" s="272"/>
      <c r="AQ13" s="274"/>
    </row>
    <row r="14" spans="2:48" s="260" customFormat="1" ht="30" customHeight="1">
      <c r="B14" s="853" t="s">
        <v>255</v>
      </c>
      <c r="C14" s="843" t="s">
        <v>259</v>
      </c>
      <c r="D14" s="843" t="s">
        <v>127</v>
      </c>
      <c r="E14" s="843" t="s">
        <v>204</v>
      </c>
      <c r="F14" s="843" t="s">
        <v>205</v>
      </c>
      <c r="G14" s="843">
        <v>35</v>
      </c>
      <c r="H14" s="843">
        <v>1500</v>
      </c>
      <c r="I14" s="844" t="s">
        <v>206</v>
      </c>
      <c r="J14" s="845"/>
      <c r="K14" s="845"/>
      <c r="L14" s="845"/>
      <c r="M14" s="845"/>
      <c r="N14" s="846"/>
      <c r="O14" s="275">
        <f>SUM(P14:AQ14)</f>
        <v>0</v>
      </c>
      <c r="P14" s="281"/>
      <c r="Q14" s="277"/>
      <c r="R14" s="277"/>
      <c r="S14" s="277"/>
      <c r="T14" s="277"/>
      <c r="U14" s="277"/>
      <c r="V14" s="282"/>
      <c r="W14" s="282"/>
      <c r="X14" s="282"/>
      <c r="Y14" s="282"/>
      <c r="Z14" s="282"/>
      <c r="AA14" s="282"/>
      <c r="AB14" s="282"/>
      <c r="AC14" s="282"/>
      <c r="AD14" s="283"/>
      <c r="AE14" s="283"/>
      <c r="AF14" s="283"/>
      <c r="AG14" s="282"/>
      <c r="AH14" s="282"/>
      <c r="AI14" s="282"/>
      <c r="AJ14" s="282"/>
      <c r="AK14" s="282"/>
      <c r="AL14" s="277"/>
      <c r="AM14" s="277"/>
      <c r="AN14" s="277"/>
      <c r="AO14" s="277"/>
      <c r="AP14" s="277"/>
      <c r="AQ14" s="279"/>
      <c r="AR14" s="280"/>
      <c r="AS14" s="280"/>
      <c r="AT14" s="280"/>
      <c r="AU14" s="280"/>
      <c r="AV14" s="280"/>
    </row>
    <row r="15" spans="2:48" s="260" customFormat="1" ht="30" customHeight="1" thickBot="1">
      <c r="B15" s="840"/>
      <c r="C15" s="842"/>
      <c r="D15" s="842"/>
      <c r="E15" s="842"/>
      <c r="F15" s="842"/>
      <c r="G15" s="842"/>
      <c r="H15" s="842"/>
      <c r="I15" s="847" t="s">
        <v>207</v>
      </c>
      <c r="J15" s="848"/>
      <c r="K15" s="848"/>
      <c r="L15" s="848"/>
      <c r="M15" s="848"/>
      <c r="N15" s="849"/>
      <c r="O15" s="270">
        <f>SUM(P15:AQ15)</f>
        <v>0</v>
      </c>
      <c r="P15" s="271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3"/>
      <c r="AE15" s="273"/>
      <c r="AF15" s="273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4"/>
      <c r="AR15" s="280"/>
      <c r="AS15" s="280"/>
      <c r="AT15" s="280"/>
      <c r="AU15" s="280"/>
      <c r="AV15" s="280"/>
    </row>
    <row r="16" spans="2:48" s="280" customFormat="1" ht="18" hidden="1" customHeight="1">
      <c r="B16" s="839" t="s">
        <v>45</v>
      </c>
      <c r="C16" s="843" t="s">
        <v>209</v>
      </c>
      <c r="D16" s="843" t="s">
        <v>127</v>
      </c>
      <c r="E16" s="843" t="s">
        <v>138</v>
      </c>
      <c r="F16" s="843" t="s">
        <v>205</v>
      </c>
      <c r="G16" s="843">
        <v>50</v>
      </c>
      <c r="H16" s="843">
        <v>1000</v>
      </c>
      <c r="I16" s="875" t="s">
        <v>206</v>
      </c>
      <c r="J16" s="876"/>
      <c r="K16" s="876"/>
      <c r="L16" s="876"/>
      <c r="M16" s="876"/>
      <c r="N16" s="877"/>
      <c r="O16" s="284">
        <f>SUM(P16:AP16)</f>
        <v>0</v>
      </c>
      <c r="P16" s="276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9"/>
    </row>
    <row r="17" spans="2:51" s="280" customFormat="1" ht="18" hidden="1" customHeight="1" thickBot="1">
      <c r="B17" s="840"/>
      <c r="C17" s="842"/>
      <c r="D17" s="842"/>
      <c r="E17" s="842"/>
      <c r="F17" s="842"/>
      <c r="G17" s="842"/>
      <c r="H17" s="842"/>
      <c r="I17" s="878" t="s">
        <v>207</v>
      </c>
      <c r="J17" s="879"/>
      <c r="K17" s="879"/>
      <c r="L17" s="879"/>
      <c r="M17" s="879"/>
      <c r="N17" s="880"/>
      <c r="O17" s="270">
        <f>SUM(P17:AQ17)</f>
        <v>0</v>
      </c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7"/>
    </row>
    <row r="18" spans="2:51" s="260" customFormat="1" ht="18.75" hidden="1" customHeight="1">
      <c r="B18" s="288"/>
      <c r="C18" s="289"/>
      <c r="D18" s="289"/>
      <c r="E18" s="289"/>
      <c r="F18" s="289"/>
      <c r="G18" s="289"/>
      <c r="H18" s="289"/>
      <c r="I18" s="290"/>
      <c r="J18" s="290"/>
      <c r="K18" s="291"/>
      <c r="L18" s="291"/>
      <c r="M18" s="292"/>
      <c r="N18" s="293"/>
      <c r="O18" s="294"/>
      <c r="P18" s="281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95"/>
      <c r="AR18" s="296"/>
    </row>
    <row r="19" spans="2:51" s="260" customFormat="1" ht="18.75" hidden="1" customHeight="1">
      <c r="B19" s="288"/>
      <c r="C19" s="289"/>
      <c r="D19" s="289"/>
      <c r="E19" s="289"/>
      <c r="F19" s="289"/>
      <c r="G19" s="289"/>
      <c r="H19" s="289"/>
      <c r="I19" s="290"/>
      <c r="J19" s="290"/>
      <c r="K19" s="291"/>
      <c r="L19" s="291"/>
      <c r="M19" s="292"/>
      <c r="N19" s="293"/>
      <c r="O19" s="294"/>
      <c r="P19" s="297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9"/>
      <c r="AR19" s="296"/>
    </row>
    <row r="20" spans="2:51" s="260" customFormat="1" ht="18.75" hidden="1" customHeight="1">
      <c r="B20" s="288"/>
      <c r="C20" s="289"/>
      <c r="D20" s="289"/>
      <c r="E20" s="289"/>
      <c r="F20" s="289"/>
      <c r="G20" s="289"/>
      <c r="H20" s="289"/>
      <c r="I20" s="290"/>
      <c r="J20" s="290"/>
      <c r="K20" s="291"/>
      <c r="L20" s="291"/>
      <c r="M20" s="292"/>
      <c r="N20" s="293"/>
      <c r="O20" s="294"/>
      <c r="P20" s="297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9"/>
      <c r="AR20" s="296"/>
    </row>
    <row r="21" spans="2:51" s="260" customFormat="1" ht="18.75" hidden="1" customHeight="1" thickBot="1">
      <c r="B21" s="288"/>
      <c r="C21" s="289"/>
      <c r="D21" s="289"/>
      <c r="E21" s="289"/>
      <c r="F21" s="289"/>
      <c r="G21" s="289"/>
      <c r="H21" s="289"/>
      <c r="I21" s="290"/>
      <c r="J21" s="290"/>
      <c r="K21" s="291"/>
      <c r="L21" s="291"/>
      <c r="M21" s="292"/>
      <c r="N21" s="293"/>
      <c r="O21" s="294"/>
      <c r="P21" s="285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7"/>
      <c r="AR21" s="296"/>
    </row>
    <row r="22" spans="2:51" s="305" customFormat="1" ht="30" customHeight="1">
      <c r="B22" s="300"/>
      <c r="C22" s="301"/>
      <c r="D22" s="301"/>
      <c r="E22" s="302"/>
      <c r="F22" s="302"/>
      <c r="G22" s="302"/>
      <c r="H22" s="303"/>
      <c r="I22" s="850" t="s">
        <v>206</v>
      </c>
      <c r="J22" s="851"/>
      <c r="K22" s="851"/>
      <c r="L22" s="851"/>
      <c r="M22" s="851"/>
      <c r="N22" s="852"/>
      <c r="O22" s="304">
        <f>SUM(O8,O10,O12,O14)</f>
        <v>1950</v>
      </c>
      <c r="P22" s="473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870" t="s">
        <v>210</v>
      </c>
      <c r="AB22" s="870"/>
      <c r="AC22" s="870"/>
      <c r="AD22" s="870"/>
      <c r="AE22" s="870" t="s">
        <v>211</v>
      </c>
      <c r="AF22" s="870"/>
      <c r="AG22" s="870"/>
      <c r="AH22" s="870"/>
      <c r="AI22" s="870" t="s">
        <v>212</v>
      </c>
      <c r="AJ22" s="870"/>
      <c r="AK22" s="870"/>
      <c r="AL22" s="870"/>
      <c r="AM22" s="870"/>
      <c r="AN22" s="870" t="s">
        <v>217</v>
      </c>
      <c r="AO22" s="870"/>
      <c r="AP22" s="870"/>
      <c r="AQ22" s="871"/>
    </row>
    <row r="23" spans="2:51" s="305" customFormat="1" ht="30" customHeight="1" thickBot="1">
      <c r="B23" s="306"/>
      <c r="C23" s="307"/>
      <c r="D23" s="307"/>
      <c r="E23" s="308"/>
      <c r="F23" s="308"/>
      <c r="G23" s="308"/>
      <c r="H23" s="309"/>
      <c r="I23" s="836" t="s">
        <v>207</v>
      </c>
      <c r="J23" s="837"/>
      <c r="K23" s="837"/>
      <c r="L23" s="837"/>
      <c r="M23" s="837"/>
      <c r="N23" s="838"/>
      <c r="O23" s="310">
        <f>SUM(O9,O11,O13,O15)</f>
        <v>1740</v>
      </c>
      <c r="P23" s="306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11"/>
      <c r="AB23" s="311" t="s">
        <v>213</v>
      </c>
      <c r="AC23" s="311"/>
      <c r="AD23" s="311"/>
      <c r="AE23" s="311"/>
      <c r="AF23" s="311" t="s">
        <v>214</v>
      </c>
      <c r="AG23" s="311"/>
      <c r="AH23" s="311"/>
      <c r="AI23" s="881" t="s">
        <v>228</v>
      </c>
      <c r="AJ23" s="881"/>
      <c r="AK23" s="881"/>
      <c r="AL23" s="881"/>
      <c r="AM23" s="311"/>
      <c r="AN23" s="493"/>
      <c r="AO23" s="493" t="s">
        <v>230</v>
      </c>
      <c r="AP23" s="493"/>
      <c r="AQ23" s="492" t="s">
        <v>231</v>
      </c>
    </row>
    <row r="24" spans="2:51" ht="16.5" customHeight="1">
      <c r="AI24" s="872" t="s">
        <v>211</v>
      </c>
      <c r="AJ24" s="873"/>
      <c r="AK24" s="873"/>
      <c r="AL24" s="874"/>
      <c r="AN24" s="305"/>
      <c r="AO24" s="305"/>
      <c r="AP24" s="305"/>
      <c r="AQ24" s="305"/>
    </row>
    <row r="25" spans="2:51" ht="18" customHeight="1" thickBot="1">
      <c r="D25" s="246" t="s">
        <v>216</v>
      </c>
      <c r="AI25" s="471"/>
      <c r="AJ25" s="311" t="s">
        <v>229</v>
      </c>
      <c r="AK25" s="311"/>
      <c r="AL25" s="472" t="s">
        <v>215</v>
      </c>
      <c r="AN25" s="305"/>
      <c r="AO25" s="305"/>
      <c r="AP25" s="305"/>
      <c r="AQ25" s="305"/>
      <c r="AR25" s="245">
        <f>540/90</f>
        <v>6</v>
      </c>
    </row>
    <row r="26" spans="2:51" ht="18" customHeight="1">
      <c r="D26" s="247" t="s">
        <v>193</v>
      </c>
      <c r="AR26" s="305"/>
      <c r="AS26" s="305"/>
      <c r="AT26" s="305"/>
      <c r="AU26" s="305"/>
    </row>
    <row r="27" spans="2:51" ht="5.25" customHeight="1"/>
    <row r="28" spans="2:51" s="248" customFormat="1" ht="16.5" customHeight="1" thickBot="1">
      <c r="E28" s="249" t="s">
        <v>194</v>
      </c>
      <c r="F28" s="250">
        <f>I28-N28</f>
        <v>1</v>
      </c>
      <c r="G28" s="251"/>
      <c r="H28" s="249" t="s">
        <v>195</v>
      </c>
      <c r="I28" s="854">
        <v>19</v>
      </c>
      <c r="J28" s="854"/>
      <c r="K28" s="252"/>
      <c r="M28" s="249" t="s">
        <v>196</v>
      </c>
      <c r="N28" s="855">
        <f>COUNT(P30:AT30)</f>
        <v>18</v>
      </c>
      <c r="O28" s="855"/>
      <c r="P28" s="253" t="s">
        <v>119</v>
      </c>
      <c r="Q28" s="253" t="s">
        <v>120</v>
      </c>
      <c r="R28" s="253" t="s">
        <v>121</v>
      </c>
      <c r="S28" s="253" t="s">
        <v>122</v>
      </c>
      <c r="T28" s="253" t="s">
        <v>121</v>
      </c>
      <c r="U28" s="253" t="s">
        <v>123</v>
      </c>
      <c r="V28" s="253" t="s">
        <v>119</v>
      </c>
      <c r="W28" s="253" t="s">
        <v>119</v>
      </c>
      <c r="X28" s="253" t="s">
        <v>120</v>
      </c>
      <c r="Y28" s="253" t="s">
        <v>121</v>
      </c>
      <c r="Z28" s="253" t="s">
        <v>122</v>
      </c>
      <c r="AA28" s="253" t="s">
        <v>121</v>
      </c>
      <c r="AB28" s="253" t="s">
        <v>123</v>
      </c>
      <c r="AC28" s="253" t="s">
        <v>119</v>
      </c>
      <c r="AD28" s="253" t="s">
        <v>119</v>
      </c>
      <c r="AE28" s="253" t="s">
        <v>120</v>
      </c>
      <c r="AF28" s="253" t="s">
        <v>121</v>
      </c>
      <c r="AG28" s="253" t="s">
        <v>122</v>
      </c>
      <c r="AH28" s="253" t="s">
        <v>121</v>
      </c>
      <c r="AI28" s="253" t="s">
        <v>123</v>
      </c>
      <c r="AJ28" s="253" t="s">
        <v>119</v>
      </c>
      <c r="AK28" s="253" t="s">
        <v>119</v>
      </c>
      <c r="AL28" s="253" t="s">
        <v>120</v>
      </c>
      <c r="AM28" s="253" t="s">
        <v>121</v>
      </c>
      <c r="AN28" s="253" t="s">
        <v>122</v>
      </c>
      <c r="AO28" s="253" t="s">
        <v>121</v>
      </c>
      <c r="AP28" s="253" t="s">
        <v>123</v>
      </c>
      <c r="AQ28" s="253" t="s">
        <v>119</v>
      </c>
      <c r="AR28" s="253" t="s">
        <v>119</v>
      </c>
      <c r="AS28" s="253" t="s">
        <v>120</v>
      </c>
      <c r="AT28" s="253" t="s">
        <v>121</v>
      </c>
    </row>
    <row r="29" spans="2:51" s="260" customFormat="1" ht="18" customHeight="1" thickBot="1">
      <c r="B29" s="856" t="s">
        <v>115</v>
      </c>
      <c r="C29" s="858" t="s">
        <v>117</v>
      </c>
      <c r="D29" s="858" t="s">
        <v>116</v>
      </c>
      <c r="E29" s="858" t="s">
        <v>197</v>
      </c>
      <c r="F29" s="858"/>
      <c r="G29" s="858"/>
      <c r="H29" s="860" t="s">
        <v>198</v>
      </c>
      <c r="I29" s="861" t="s">
        <v>199</v>
      </c>
      <c r="J29" s="862"/>
      <c r="K29" s="862"/>
      <c r="L29" s="862"/>
      <c r="M29" s="862"/>
      <c r="N29" s="863"/>
      <c r="O29" s="867" t="s">
        <v>200</v>
      </c>
      <c r="P29" s="254">
        <v>1</v>
      </c>
      <c r="Q29" s="255">
        <v>2</v>
      </c>
      <c r="R29" s="255">
        <v>3</v>
      </c>
      <c r="S29" s="255">
        <v>4</v>
      </c>
      <c r="T29" s="255">
        <v>5</v>
      </c>
      <c r="U29" s="255">
        <v>6</v>
      </c>
      <c r="V29" s="256">
        <v>7</v>
      </c>
      <c r="W29" s="257">
        <v>8</v>
      </c>
      <c r="X29" s="255">
        <v>9</v>
      </c>
      <c r="Y29" s="255">
        <v>10</v>
      </c>
      <c r="Z29" s="255">
        <v>11</v>
      </c>
      <c r="AA29" s="255">
        <v>12</v>
      </c>
      <c r="AB29" s="255">
        <v>13</v>
      </c>
      <c r="AC29" s="256">
        <v>14</v>
      </c>
      <c r="AD29" s="257">
        <v>15</v>
      </c>
      <c r="AE29" s="255">
        <v>16</v>
      </c>
      <c r="AF29" s="673">
        <v>17</v>
      </c>
      <c r="AG29" s="255">
        <v>18</v>
      </c>
      <c r="AH29" s="255">
        <v>19</v>
      </c>
      <c r="AI29" s="258">
        <v>20</v>
      </c>
      <c r="AJ29" s="256">
        <v>21</v>
      </c>
      <c r="AK29" s="257">
        <v>22</v>
      </c>
      <c r="AL29" s="258">
        <v>23</v>
      </c>
      <c r="AM29" s="258">
        <v>24</v>
      </c>
      <c r="AN29" s="255">
        <v>25</v>
      </c>
      <c r="AO29" s="255">
        <v>26</v>
      </c>
      <c r="AP29" s="255">
        <v>27</v>
      </c>
      <c r="AQ29" s="256">
        <v>28</v>
      </c>
      <c r="AR29" s="257">
        <v>29</v>
      </c>
      <c r="AS29" s="255">
        <v>30</v>
      </c>
      <c r="AT29" s="312">
        <v>31</v>
      </c>
      <c r="AU29" s="296"/>
    </row>
    <row r="30" spans="2:51" s="260" customFormat="1" ht="17.25" customHeight="1" thickBot="1">
      <c r="B30" s="857"/>
      <c r="C30" s="859"/>
      <c r="D30" s="859"/>
      <c r="E30" s="261" t="s">
        <v>201</v>
      </c>
      <c r="F30" s="261" t="s">
        <v>202</v>
      </c>
      <c r="G30" s="261" t="s">
        <v>203</v>
      </c>
      <c r="H30" s="859"/>
      <c r="I30" s="864"/>
      <c r="J30" s="865"/>
      <c r="K30" s="865"/>
      <c r="L30" s="865"/>
      <c r="M30" s="865"/>
      <c r="N30" s="866"/>
      <c r="O30" s="868"/>
      <c r="P30" s="262"/>
      <c r="Q30" s="263"/>
      <c r="R30" s="263"/>
      <c r="S30" s="263"/>
      <c r="T30" s="263">
        <v>1</v>
      </c>
      <c r="U30" s="263">
        <v>2</v>
      </c>
      <c r="V30" s="263">
        <v>2</v>
      </c>
      <c r="W30" s="263">
        <v>2</v>
      </c>
      <c r="X30" s="263">
        <v>2</v>
      </c>
      <c r="Y30" s="263">
        <v>2</v>
      </c>
      <c r="Z30" s="263">
        <v>2</v>
      </c>
      <c r="AA30" s="263">
        <v>2</v>
      </c>
      <c r="AB30" s="263">
        <v>2</v>
      </c>
      <c r="AC30" s="263">
        <v>2</v>
      </c>
      <c r="AD30" s="263">
        <v>2</v>
      </c>
      <c r="AE30" s="263">
        <v>1</v>
      </c>
      <c r="AF30" s="263"/>
      <c r="AG30" s="263"/>
      <c r="AH30" s="263"/>
      <c r="AI30" s="263"/>
      <c r="AJ30" s="263"/>
      <c r="AK30" s="263"/>
      <c r="AL30" s="263"/>
      <c r="AM30" s="263"/>
      <c r="AN30" s="263">
        <v>2</v>
      </c>
      <c r="AO30" s="263">
        <v>2</v>
      </c>
      <c r="AP30" s="263">
        <v>2</v>
      </c>
      <c r="AQ30" s="263">
        <v>2</v>
      </c>
      <c r="AR30" s="263"/>
      <c r="AS30" s="263">
        <v>2</v>
      </c>
      <c r="AT30" s="263">
        <v>2</v>
      </c>
      <c r="AU30" s="296"/>
    </row>
    <row r="31" spans="2:51" s="260" customFormat="1" ht="30" customHeight="1">
      <c r="B31" s="853" t="s">
        <v>41</v>
      </c>
      <c r="C31" s="843" t="s">
        <v>257</v>
      </c>
      <c r="D31" s="843" t="s">
        <v>127</v>
      </c>
      <c r="E31" s="843" t="s">
        <v>138</v>
      </c>
      <c r="F31" s="843" t="s">
        <v>208</v>
      </c>
      <c r="G31" s="843">
        <v>50</v>
      </c>
      <c r="H31" s="843">
        <v>1000</v>
      </c>
      <c r="I31" s="844" t="s">
        <v>206</v>
      </c>
      <c r="J31" s="845"/>
      <c r="K31" s="845"/>
      <c r="L31" s="845"/>
      <c r="M31" s="845"/>
      <c r="N31" s="846"/>
      <c r="O31" s="275">
        <f>SUM(P31:AP31)</f>
        <v>0</v>
      </c>
      <c r="P31" s="266"/>
      <c r="Q31" s="282"/>
      <c r="R31" s="282"/>
      <c r="S31" s="282"/>
      <c r="T31" s="282"/>
      <c r="U31" s="282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8"/>
      <c r="AH31" s="268"/>
      <c r="AI31" s="268"/>
      <c r="AJ31" s="268"/>
      <c r="AK31" s="268"/>
      <c r="AL31" s="268"/>
      <c r="AM31" s="268"/>
      <c r="AN31" s="267"/>
      <c r="AO31" s="267"/>
      <c r="AP31" s="267"/>
      <c r="AQ31" s="267"/>
      <c r="AR31" s="267"/>
      <c r="AS31" s="267"/>
      <c r="AT31" s="269"/>
      <c r="AU31" s="296"/>
      <c r="AV31" s="893" t="s">
        <v>353</v>
      </c>
      <c r="AW31" s="893"/>
      <c r="AX31" s="893"/>
      <c r="AY31" s="893"/>
    </row>
    <row r="32" spans="2:51" s="260" customFormat="1" ht="30" customHeight="1">
      <c r="B32" s="840"/>
      <c r="C32" s="842"/>
      <c r="D32" s="842"/>
      <c r="E32" s="842"/>
      <c r="F32" s="842"/>
      <c r="G32" s="842"/>
      <c r="H32" s="842"/>
      <c r="I32" s="847" t="s">
        <v>207</v>
      </c>
      <c r="J32" s="848"/>
      <c r="K32" s="848"/>
      <c r="L32" s="848"/>
      <c r="M32" s="848"/>
      <c r="N32" s="849"/>
      <c r="O32" s="270">
        <f>SUM(P32:AQ32)</f>
        <v>40</v>
      </c>
      <c r="P32" s="271"/>
      <c r="Q32" s="272"/>
      <c r="R32" s="272"/>
      <c r="S32" s="272"/>
      <c r="T32" s="886">
        <v>40</v>
      </c>
      <c r="U32" s="887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3"/>
      <c r="AH32" s="273"/>
      <c r="AI32" s="273"/>
      <c r="AJ32" s="273"/>
      <c r="AK32" s="273"/>
      <c r="AL32" s="273"/>
      <c r="AM32" s="273"/>
      <c r="AN32" s="272"/>
      <c r="AO32" s="272"/>
      <c r="AP32" s="272"/>
      <c r="AQ32" s="272"/>
      <c r="AR32" s="272"/>
      <c r="AS32" s="272"/>
      <c r="AT32" s="274"/>
      <c r="AU32" s="296"/>
      <c r="AV32" s="893"/>
      <c r="AW32" s="893"/>
      <c r="AX32" s="893"/>
      <c r="AY32" s="893"/>
    </row>
    <row r="33" spans="2:51" s="280" customFormat="1" ht="30" customHeight="1">
      <c r="B33" s="839" t="s">
        <v>42</v>
      </c>
      <c r="C33" s="843" t="s">
        <v>258</v>
      </c>
      <c r="D33" s="843" t="s">
        <v>127</v>
      </c>
      <c r="E33" s="843" t="s">
        <v>204</v>
      </c>
      <c r="F33" s="843" t="s">
        <v>205</v>
      </c>
      <c r="G33" s="843">
        <v>35</v>
      </c>
      <c r="H33" s="843">
        <v>500</v>
      </c>
      <c r="I33" s="844" t="s">
        <v>206</v>
      </c>
      <c r="J33" s="845"/>
      <c r="K33" s="845"/>
      <c r="L33" s="845"/>
      <c r="M33" s="845"/>
      <c r="N33" s="846"/>
      <c r="O33" s="275">
        <f t="shared" ref="O33:O40" si="0">SUM(P33:AT33)</f>
        <v>0</v>
      </c>
      <c r="P33" s="281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3"/>
      <c r="AI33" s="283"/>
      <c r="AJ33" s="283"/>
      <c r="AK33" s="283"/>
      <c r="AL33" s="283"/>
      <c r="AM33" s="283"/>
      <c r="AN33" s="282"/>
      <c r="AO33" s="282"/>
      <c r="AP33" s="282"/>
      <c r="AQ33" s="282"/>
      <c r="AR33" s="282"/>
      <c r="AS33" s="282"/>
      <c r="AT33" s="295"/>
      <c r="AU33" s="313"/>
      <c r="AV33" s="707"/>
      <c r="AW33" s="707"/>
      <c r="AX33" s="707"/>
      <c r="AY33" s="707"/>
    </row>
    <row r="34" spans="2:51" s="280" customFormat="1" ht="30" customHeight="1">
      <c r="B34" s="840"/>
      <c r="C34" s="842"/>
      <c r="D34" s="842"/>
      <c r="E34" s="842"/>
      <c r="F34" s="842"/>
      <c r="G34" s="842"/>
      <c r="H34" s="842"/>
      <c r="I34" s="847" t="s">
        <v>207</v>
      </c>
      <c r="J34" s="848"/>
      <c r="K34" s="848"/>
      <c r="L34" s="848"/>
      <c r="M34" s="848"/>
      <c r="N34" s="849"/>
      <c r="O34" s="270">
        <f t="shared" si="0"/>
        <v>180</v>
      </c>
      <c r="P34" s="271"/>
      <c r="Q34" s="272"/>
      <c r="R34" s="272"/>
      <c r="S34" s="272"/>
      <c r="T34" s="886">
        <v>180</v>
      </c>
      <c r="U34" s="887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3"/>
      <c r="AH34" s="273"/>
      <c r="AI34" s="273"/>
      <c r="AJ34" s="273"/>
      <c r="AK34" s="273"/>
      <c r="AL34" s="273"/>
      <c r="AM34" s="273"/>
      <c r="AN34" s="272"/>
      <c r="AO34" s="272"/>
      <c r="AP34" s="272"/>
      <c r="AQ34" s="272"/>
      <c r="AR34" s="272"/>
      <c r="AS34" s="272"/>
      <c r="AT34" s="274"/>
      <c r="AU34" s="313"/>
      <c r="AV34" s="707"/>
      <c r="AW34" s="707"/>
      <c r="AX34" s="707"/>
      <c r="AY34" s="707"/>
    </row>
    <row r="35" spans="2:51" s="280" customFormat="1" ht="30" customHeight="1">
      <c r="B35" s="839" t="s">
        <v>43</v>
      </c>
      <c r="C35" s="843" t="s">
        <v>259</v>
      </c>
      <c r="D35" s="843" t="s">
        <v>127</v>
      </c>
      <c r="E35" s="843" t="s">
        <v>204</v>
      </c>
      <c r="F35" s="843" t="s">
        <v>205</v>
      </c>
      <c r="G35" s="843">
        <v>35</v>
      </c>
      <c r="H35" s="843">
        <v>1500</v>
      </c>
      <c r="I35" s="844" t="s">
        <v>206</v>
      </c>
      <c r="J35" s="845"/>
      <c r="K35" s="845"/>
      <c r="L35" s="845"/>
      <c r="M35" s="845"/>
      <c r="N35" s="846"/>
      <c r="O35" s="275">
        <f>SUM(P35:AT35)</f>
        <v>1500</v>
      </c>
      <c r="P35" s="281"/>
      <c r="Q35" s="282"/>
      <c r="R35" s="282"/>
      <c r="S35" s="282"/>
      <c r="T35" s="282"/>
      <c r="U35" s="282"/>
      <c r="V35" s="282">
        <v>240</v>
      </c>
      <c r="W35" s="282">
        <v>300</v>
      </c>
      <c r="X35" s="282">
        <v>140</v>
      </c>
      <c r="Y35" s="282">
        <v>300</v>
      </c>
      <c r="Z35" s="282">
        <v>300</v>
      </c>
      <c r="AA35" s="282">
        <v>220</v>
      </c>
      <c r="AB35" s="282"/>
      <c r="AC35" s="282"/>
      <c r="AD35" s="282"/>
      <c r="AE35" s="282"/>
      <c r="AF35" s="282"/>
      <c r="AG35" s="283"/>
      <c r="AH35" s="283"/>
      <c r="AI35" s="283"/>
      <c r="AJ35" s="283"/>
      <c r="AK35" s="283"/>
      <c r="AL35" s="283"/>
      <c r="AM35" s="283"/>
      <c r="AN35" s="282"/>
      <c r="AO35" s="282"/>
      <c r="AP35" s="282"/>
      <c r="AQ35" s="282"/>
      <c r="AR35" s="282"/>
      <c r="AS35" s="282"/>
      <c r="AT35" s="295"/>
      <c r="AU35" s="313"/>
      <c r="AV35" s="707"/>
      <c r="AW35" s="707"/>
      <c r="AX35" s="707"/>
      <c r="AY35" s="707"/>
    </row>
    <row r="36" spans="2:51" s="280" customFormat="1" ht="30" customHeight="1">
      <c r="B36" s="840"/>
      <c r="C36" s="842"/>
      <c r="D36" s="842"/>
      <c r="E36" s="842"/>
      <c r="F36" s="842"/>
      <c r="G36" s="842"/>
      <c r="H36" s="842"/>
      <c r="I36" s="847" t="s">
        <v>207</v>
      </c>
      <c r="J36" s="848"/>
      <c r="K36" s="848"/>
      <c r="L36" s="848"/>
      <c r="M36" s="848"/>
      <c r="N36" s="849"/>
      <c r="O36" s="270">
        <f>SUM(P36:AT36)</f>
        <v>1500</v>
      </c>
      <c r="P36" s="271"/>
      <c r="Q36" s="272"/>
      <c r="R36" s="272"/>
      <c r="S36" s="272"/>
      <c r="T36" s="272"/>
      <c r="U36" s="272"/>
      <c r="V36" s="272">
        <v>240</v>
      </c>
      <c r="W36" s="272">
        <v>300</v>
      </c>
      <c r="X36" s="272"/>
      <c r="Y36" s="272"/>
      <c r="Z36" s="272"/>
      <c r="AA36" s="272"/>
      <c r="AB36" s="272"/>
      <c r="AC36" s="272">
        <v>400</v>
      </c>
      <c r="AD36" s="272">
        <v>500</v>
      </c>
      <c r="AE36" s="272"/>
      <c r="AF36" s="272"/>
      <c r="AG36" s="273"/>
      <c r="AH36" s="273"/>
      <c r="AI36" s="273"/>
      <c r="AJ36" s="273"/>
      <c r="AK36" s="273"/>
      <c r="AL36" s="273"/>
      <c r="AM36" s="273"/>
      <c r="AN36" s="272">
        <v>60</v>
      </c>
      <c r="AO36" s="272"/>
      <c r="AP36" s="272"/>
      <c r="AQ36" s="272"/>
      <c r="AR36" s="272"/>
      <c r="AS36" s="272"/>
      <c r="AT36" s="274"/>
      <c r="AU36" s="313"/>
      <c r="AV36" s="707"/>
      <c r="AW36" s="707"/>
      <c r="AX36" s="707"/>
      <c r="AY36" s="707"/>
    </row>
    <row r="37" spans="2:51" s="280" customFormat="1" ht="30.75" customHeight="1">
      <c r="B37" s="839" t="s">
        <v>44</v>
      </c>
      <c r="C37" s="841" t="s">
        <v>260</v>
      </c>
      <c r="D37" s="843" t="s">
        <v>127</v>
      </c>
      <c r="E37" s="843" t="s">
        <v>138</v>
      </c>
      <c r="F37" s="843" t="s">
        <v>208</v>
      </c>
      <c r="G37" s="843">
        <v>50</v>
      </c>
      <c r="H37" s="843">
        <v>1000</v>
      </c>
      <c r="I37" s="844" t="s">
        <v>206</v>
      </c>
      <c r="J37" s="845"/>
      <c r="K37" s="845"/>
      <c r="L37" s="845"/>
      <c r="M37" s="845"/>
      <c r="N37" s="846"/>
      <c r="O37" s="275">
        <f>SUM(P37:AT37)</f>
        <v>1000</v>
      </c>
      <c r="P37" s="478"/>
      <c r="Q37" s="475"/>
      <c r="R37" s="475"/>
      <c r="S37" s="475"/>
      <c r="T37" s="475"/>
      <c r="U37" s="475"/>
      <c r="V37" s="475"/>
      <c r="W37" s="475"/>
      <c r="X37" s="475">
        <v>140</v>
      </c>
      <c r="Y37" s="475"/>
      <c r="Z37" s="475"/>
      <c r="AA37" s="475"/>
      <c r="AB37" s="475">
        <v>240</v>
      </c>
      <c r="AC37" s="475">
        <v>120</v>
      </c>
      <c r="AD37" s="475"/>
      <c r="AE37" s="475">
        <v>20</v>
      </c>
      <c r="AF37" s="475"/>
      <c r="AG37" s="476"/>
      <c r="AH37" s="476"/>
      <c r="AI37" s="476"/>
      <c r="AJ37" s="476"/>
      <c r="AK37" s="476"/>
      <c r="AL37" s="476"/>
      <c r="AM37" s="476"/>
      <c r="AN37" s="475"/>
      <c r="AO37" s="475"/>
      <c r="AP37" s="475">
        <v>240</v>
      </c>
      <c r="AQ37" s="475">
        <v>240</v>
      </c>
      <c r="AR37" s="475"/>
      <c r="AS37" s="475"/>
      <c r="AT37" s="477"/>
      <c r="AU37" s="313"/>
      <c r="AV37" s="707"/>
      <c r="AW37" s="707"/>
      <c r="AX37" s="707"/>
      <c r="AY37" s="707"/>
    </row>
    <row r="38" spans="2:51" s="280" customFormat="1" ht="30.75" customHeight="1">
      <c r="B38" s="840"/>
      <c r="C38" s="842"/>
      <c r="D38" s="842"/>
      <c r="E38" s="842"/>
      <c r="F38" s="842"/>
      <c r="G38" s="842"/>
      <c r="H38" s="842"/>
      <c r="I38" s="847" t="s">
        <v>207</v>
      </c>
      <c r="J38" s="848"/>
      <c r="K38" s="848"/>
      <c r="L38" s="848"/>
      <c r="M38" s="848"/>
      <c r="N38" s="849"/>
      <c r="O38" s="270">
        <f>SUM(P38:AT38)</f>
        <v>1000</v>
      </c>
      <c r="P38" s="271"/>
      <c r="Q38" s="272"/>
      <c r="R38" s="272"/>
      <c r="S38" s="272"/>
      <c r="T38" s="272"/>
      <c r="U38" s="272"/>
      <c r="V38" s="272"/>
      <c r="W38" s="272"/>
      <c r="X38" s="272">
        <v>140</v>
      </c>
      <c r="Y38" s="272"/>
      <c r="Z38" s="272"/>
      <c r="AA38" s="272"/>
      <c r="AB38" s="272"/>
      <c r="AC38" s="272"/>
      <c r="AD38" s="272">
        <v>360</v>
      </c>
      <c r="AE38" s="272"/>
      <c r="AF38" s="272"/>
      <c r="AG38" s="273"/>
      <c r="AH38" s="273"/>
      <c r="AI38" s="273"/>
      <c r="AJ38" s="273"/>
      <c r="AK38" s="273"/>
      <c r="AL38" s="273"/>
      <c r="AM38" s="273"/>
      <c r="AN38" s="272"/>
      <c r="AO38" s="272"/>
      <c r="AP38" s="272">
        <v>220</v>
      </c>
      <c r="AQ38" s="272">
        <v>280</v>
      </c>
      <c r="AR38" s="272"/>
      <c r="AS38" s="272"/>
      <c r="AT38" s="274"/>
      <c r="AU38" s="313"/>
      <c r="AV38" s="707"/>
      <c r="AW38" s="707"/>
      <c r="AX38" s="707"/>
      <c r="AY38" s="707"/>
    </row>
    <row r="39" spans="2:51" s="280" customFormat="1" ht="30.75" customHeight="1">
      <c r="B39" s="839" t="s">
        <v>45</v>
      </c>
      <c r="C39" s="843" t="s">
        <v>261</v>
      </c>
      <c r="D39" s="843" t="s">
        <v>127</v>
      </c>
      <c r="E39" s="843" t="s">
        <v>136</v>
      </c>
      <c r="F39" s="843" t="s">
        <v>205</v>
      </c>
      <c r="G39" s="843">
        <v>35</v>
      </c>
      <c r="H39" s="843">
        <v>2000</v>
      </c>
      <c r="I39" s="844" t="s">
        <v>206</v>
      </c>
      <c r="J39" s="845"/>
      <c r="K39" s="845"/>
      <c r="L39" s="845"/>
      <c r="M39" s="845"/>
      <c r="N39" s="846"/>
      <c r="O39" s="275">
        <f>SUM(P39:AT39)</f>
        <v>1060</v>
      </c>
      <c r="P39" s="314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3"/>
      <c r="AH39" s="283"/>
      <c r="AI39" s="283"/>
      <c r="AJ39" s="283"/>
      <c r="AK39" s="283"/>
      <c r="AL39" s="283"/>
      <c r="AM39" s="283"/>
      <c r="AN39" s="277">
        <v>220</v>
      </c>
      <c r="AO39" s="277">
        <v>280</v>
      </c>
      <c r="AP39" s="277"/>
      <c r="AQ39" s="277"/>
      <c r="AR39" s="277"/>
      <c r="AS39" s="277">
        <v>280</v>
      </c>
      <c r="AT39" s="279">
        <v>280</v>
      </c>
      <c r="AU39" s="313"/>
    </row>
    <row r="40" spans="2:51" s="280" customFormat="1" ht="30.75" customHeight="1" thickBot="1">
      <c r="B40" s="840"/>
      <c r="C40" s="842"/>
      <c r="D40" s="842"/>
      <c r="E40" s="842"/>
      <c r="F40" s="842"/>
      <c r="G40" s="842"/>
      <c r="H40" s="842"/>
      <c r="I40" s="847" t="s">
        <v>207</v>
      </c>
      <c r="J40" s="848"/>
      <c r="K40" s="848"/>
      <c r="L40" s="848"/>
      <c r="M40" s="848"/>
      <c r="N40" s="849"/>
      <c r="O40" s="270">
        <f t="shared" si="0"/>
        <v>1040</v>
      </c>
      <c r="P40" s="315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73"/>
      <c r="AH40" s="273"/>
      <c r="AI40" s="273"/>
      <c r="AJ40" s="273"/>
      <c r="AK40" s="273"/>
      <c r="AL40" s="273"/>
      <c r="AM40" s="273"/>
      <c r="AN40" s="298">
        <v>180</v>
      </c>
      <c r="AO40" s="298">
        <v>280</v>
      </c>
      <c r="AP40" s="298">
        <v>20</v>
      </c>
      <c r="AQ40" s="298"/>
      <c r="AR40" s="298"/>
      <c r="AS40" s="298">
        <v>280</v>
      </c>
      <c r="AT40" s="299">
        <v>280</v>
      </c>
      <c r="AU40" s="313"/>
    </row>
    <row r="41" spans="2:51" s="260" customFormat="1" ht="18.75" hidden="1" customHeight="1">
      <c r="B41" s="288"/>
      <c r="C41" s="289"/>
      <c r="D41" s="289"/>
      <c r="E41" s="289"/>
      <c r="F41" s="289"/>
      <c r="G41" s="289"/>
      <c r="H41" s="289"/>
      <c r="I41" s="290"/>
      <c r="J41" s="290"/>
      <c r="K41" s="291"/>
      <c r="L41" s="291"/>
      <c r="M41" s="292"/>
      <c r="N41" s="293"/>
      <c r="O41" s="294"/>
      <c r="P41" s="297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9"/>
      <c r="AU41" s="296"/>
    </row>
    <row r="42" spans="2:51" s="260" customFormat="1" ht="18.75" hidden="1" customHeight="1">
      <c r="B42" s="288"/>
      <c r="C42" s="289"/>
      <c r="D42" s="289"/>
      <c r="E42" s="289"/>
      <c r="F42" s="289"/>
      <c r="G42" s="289"/>
      <c r="H42" s="289"/>
      <c r="I42" s="290"/>
      <c r="J42" s="290"/>
      <c r="K42" s="291"/>
      <c r="L42" s="291"/>
      <c r="M42" s="292"/>
      <c r="N42" s="293"/>
      <c r="O42" s="294"/>
      <c r="P42" s="297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9"/>
      <c r="AU42" s="296"/>
    </row>
    <row r="43" spans="2:51" s="260" customFormat="1" ht="18.75" hidden="1" customHeight="1">
      <c r="B43" s="288"/>
      <c r="C43" s="289"/>
      <c r="D43" s="289"/>
      <c r="E43" s="289"/>
      <c r="F43" s="289"/>
      <c r="G43" s="289"/>
      <c r="H43" s="289"/>
      <c r="I43" s="290"/>
      <c r="J43" s="290"/>
      <c r="K43" s="291"/>
      <c r="L43" s="291"/>
      <c r="M43" s="292"/>
      <c r="N43" s="293"/>
      <c r="O43" s="294"/>
      <c r="P43" s="297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9"/>
      <c r="AU43" s="296"/>
    </row>
    <row r="44" spans="2:51" s="260" customFormat="1" ht="18.75" hidden="1" customHeight="1" thickBot="1">
      <c r="B44" s="317"/>
      <c r="C44" s="318"/>
      <c r="D44" s="318"/>
      <c r="E44" s="318"/>
      <c r="F44" s="318"/>
      <c r="G44" s="318"/>
      <c r="H44" s="318"/>
      <c r="I44" s="319"/>
      <c r="J44" s="319"/>
      <c r="K44" s="320"/>
      <c r="L44" s="320"/>
      <c r="M44" s="321"/>
      <c r="N44" s="322"/>
      <c r="O44" s="323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7"/>
      <c r="AU44" s="296"/>
    </row>
    <row r="45" spans="2:51" s="305" customFormat="1" ht="30" customHeight="1">
      <c r="B45" s="300"/>
      <c r="C45" s="301"/>
      <c r="D45" s="301"/>
      <c r="E45" s="302"/>
      <c r="F45" s="302"/>
      <c r="G45" s="302"/>
      <c r="H45" s="303"/>
      <c r="I45" s="850" t="s">
        <v>206</v>
      </c>
      <c r="J45" s="851"/>
      <c r="K45" s="851"/>
      <c r="L45" s="851"/>
      <c r="M45" s="851"/>
      <c r="N45" s="852"/>
      <c r="O45" s="304">
        <f>SUM(O31,O33,O35,O37)</f>
        <v>2500</v>
      </c>
      <c r="P45" s="324"/>
      <c r="Q45" s="324"/>
      <c r="R45" s="324"/>
      <c r="S45" s="324"/>
      <c r="T45" s="324"/>
      <c r="U45" s="324"/>
      <c r="V45" s="585" t="s">
        <v>217</v>
      </c>
      <c r="W45" s="585"/>
      <c r="X45" s="585"/>
      <c r="Y45" s="585" t="s">
        <v>217</v>
      </c>
      <c r="Z45" s="585"/>
      <c r="AA45" s="585"/>
      <c r="AB45" s="585" t="s">
        <v>286</v>
      </c>
      <c r="AC45" s="585"/>
      <c r="AD45" s="585"/>
      <c r="AE45" s="585"/>
      <c r="AF45" s="585" t="s">
        <v>344</v>
      </c>
      <c r="AG45" s="585"/>
      <c r="AH45" s="585"/>
      <c r="AI45" s="324"/>
      <c r="AJ45" s="324"/>
      <c r="AK45" s="324"/>
      <c r="AL45" s="324"/>
      <c r="AM45" s="324"/>
      <c r="AN45" s="324"/>
      <c r="AO45" s="324"/>
      <c r="AP45" s="585" t="s">
        <v>217</v>
      </c>
      <c r="AQ45" s="586"/>
      <c r="AR45" s="586"/>
      <c r="AS45" s="585" t="s">
        <v>352</v>
      </c>
      <c r="AT45" s="586"/>
      <c r="AU45" s="586"/>
    </row>
    <row r="46" spans="2:51" s="305" customFormat="1" ht="30" customHeight="1" thickBot="1">
      <c r="B46" s="306"/>
      <c r="C46" s="307"/>
      <c r="D46" s="307"/>
      <c r="E46" s="308"/>
      <c r="F46" s="308"/>
      <c r="G46" s="308"/>
      <c r="H46" s="309"/>
      <c r="I46" s="836" t="s">
        <v>207</v>
      </c>
      <c r="J46" s="837"/>
      <c r="K46" s="837"/>
      <c r="L46" s="837"/>
      <c r="M46" s="837"/>
      <c r="N46" s="838"/>
      <c r="O46" s="310">
        <f>SUM(O32,O34,O36,O38)</f>
        <v>2720</v>
      </c>
      <c r="P46" s="326"/>
      <c r="Q46" s="326"/>
      <c r="R46" s="326"/>
      <c r="S46" s="326"/>
      <c r="T46" s="326"/>
      <c r="U46" s="326"/>
      <c r="V46" s="587" t="s">
        <v>323</v>
      </c>
      <c r="W46" s="587"/>
      <c r="X46" s="587"/>
      <c r="Y46" s="587" t="s">
        <v>342</v>
      </c>
      <c r="Z46" s="587"/>
      <c r="AA46" s="587"/>
      <c r="AB46" s="587" t="s">
        <v>287</v>
      </c>
      <c r="AC46" s="587"/>
      <c r="AD46" s="587"/>
      <c r="AE46" s="587"/>
      <c r="AF46" s="675" t="s">
        <v>349</v>
      </c>
      <c r="AG46" s="675"/>
      <c r="AH46" s="675"/>
      <c r="AL46" s="326"/>
      <c r="AM46" s="326"/>
      <c r="AN46" s="326"/>
      <c r="AO46" s="326"/>
      <c r="AP46" s="891">
        <v>540</v>
      </c>
      <c r="AQ46" s="891"/>
      <c r="AR46" s="891"/>
      <c r="AS46" s="891">
        <v>500</v>
      </c>
      <c r="AT46" s="891"/>
      <c r="AU46" s="891"/>
    </row>
    <row r="47" spans="2:51" ht="16.5" customHeight="1">
      <c r="AF47" s="676" t="s">
        <v>343</v>
      </c>
      <c r="AG47" s="677"/>
      <c r="AH47" s="677"/>
      <c r="AI47" s="703"/>
      <c r="AJ47" s="703"/>
      <c r="AK47" s="704"/>
    </row>
    <row r="48" spans="2:51" ht="18" customHeight="1" thickBot="1">
      <c r="D48" s="246" t="s">
        <v>218</v>
      </c>
      <c r="O48" s="248">
        <f>O39+O54</f>
        <v>2000</v>
      </c>
      <c r="AF48" s="678" t="s">
        <v>326</v>
      </c>
      <c r="AG48" s="587"/>
      <c r="AH48" s="587"/>
      <c r="AI48" s="326"/>
      <c r="AJ48" s="326"/>
      <c r="AK48" s="705"/>
    </row>
    <row r="49" spans="2:46" ht="18" customHeight="1">
      <c r="D49" s="247" t="s">
        <v>193</v>
      </c>
      <c r="O49" s="248">
        <f>O40+O55</f>
        <v>2000</v>
      </c>
      <c r="V49" s="892"/>
      <c r="W49" s="869"/>
    </row>
    <row r="50" spans="2:46" ht="5.25" customHeight="1"/>
    <row r="51" spans="2:46" s="248" customFormat="1" ht="16.5" customHeight="1" thickBot="1">
      <c r="E51" s="249" t="s">
        <v>194</v>
      </c>
      <c r="F51" s="250">
        <f>I51-N51</f>
        <v>-4</v>
      </c>
      <c r="G51" s="251"/>
      <c r="H51" s="249" t="s">
        <v>195</v>
      </c>
      <c r="I51" s="854">
        <v>19</v>
      </c>
      <c r="J51" s="854"/>
      <c r="K51" s="252"/>
      <c r="M51" s="249" t="s">
        <v>196</v>
      </c>
      <c r="N51" s="855">
        <f>COUNT(P53:AS53)</f>
        <v>23</v>
      </c>
      <c r="O51" s="855"/>
      <c r="P51" s="253" t="s">
        <v>122</v>
      </c>
      <c r="Q51" s="253" t="s">
        <v>121</v>
      </c>
      <c r="R51" s="253" t="s">
        <v>123</v>
      </c>
      <c r="S51" s="253" t="s">
        <v>119</v>
      </c>
      <c r="T51" s="253" t="s">
        <v>119</v>
      </c>
      <c r="U51" s="253" t="s">
        <v>120</v>
      </c>
      <c r="V51" s="253" t="s">
        <v>121</v>
      </c>
      <c r="W51" s="253" t="s">
        <v>122</v>
      </c>
      <c r="X51" s="253" t="s">
        <v>121</v>
      </c>
      <c r="Y51" s="253" t="s">
        <v>123</v>
      </c>
      <c r="Z51" s="253" t="s">
        <v>119</v>
      </c>
      <c r="AA51" s="253" t="s">
        <v>119</v>
      </c>
      <c r="AB51" s="253" t="s">
        <v>120</v>
      </c>
      <c r="AC51" s="253" t="s">
        <v>121</v>
      </c>
      <c r="AD51" s="253" t="s">
        <v>122</v>
      </c>
      <c r="AE51" s="253" t="s">
        <v>121</v>
      </c>
      <c r="AF51" s="253" t="s">
        <v>123</v>
      </c>
      <c r="AG51" s="253" t="s">
        <v>119</v>
      </c>
      <c r="AH51" s="253" t="s">
        <v>119</v>
      </c>
      <c r="AI51" s="253" t="s">
        <v>120</v>
      </c>
      <c r="AJ51" s="253" t="s">
        <v>121</v>
      </c>
      <c r="AK51" s="253" t="s">
        <v>122</v>
      </c>
      <c r="AL51" s="253" t="s">
        <v>121</v>
      </c>
      <c r="AM51" s="253" t="s">
        <v>123</v>
      </c>
      <c r="AN51" s="253" t="s">
        <v>119</v>
      </c>
      <c r="AO51" s="253" t="s">
        <v>119</v>
      </c>
      <c r="AP51" s="253" t="s">
        <v>120</v>
      </c>
      <c r="AQ51" s="253" t="s">
        <v>121</v>
      </c>
      <c r="AR51" s="253" t="s">
        <v>122</v>
      </c>
      <c r="AS51" s="253" t="s">
        <v>121</v>
      </c>
    </row>
    <row r="52" spans="2:46" s="260" customFormat="1" ht="18" customHeight="1" thickBot="1">
      <c r="B52" s="856" t="s">
        <v>115</v>
      </c>
      <c r="C52" s="858" t="s">
        <v>117</v>
      </c>
      <c r="D52" s="858" t="s">
        <v>116</v>
      </c>
      <c r="E52" s="858" t="s">
        <v>197</v>
      </c>
      <c r="F52" s="858"/>
      <c r="G52" s="858"/>
      <c r="H52" s="860" t="s">
        <v>198</v>
      </c>
      <c r="I52" s="861" t="s">
        <v>199</v>
      </c>
      <c r="J52" s="862"/>
      <c r="K52" s="862"/>
      <c r="L52" s="862"/>
      <c r="M52" s="862"/>
      <c r="N52" s="863"/>
      <c r="O52" s="867" t="s">
        <v>200</v>
      </c>
      <c r="P52" s="327">
        <v>1</v>
      </c>
      <c r="Q52" s="255">
        <v>2</v>
      </c>
      <c r="R52" s="257">
        <v>3</v>
      </c>
      <c r="S52" s="256">
        <v>4</v>
      </c>
      <c r="T52" s="257">
        <v>5</v>
      </c>
      <c r="U52" s="256">
        <v>6</v>
      </c>
      <c r="V52" s="255">
        <v>7</v>
      </c>
      <c r="W52" s="255">
        <v>8</v>
      </c>
      <c r="X52" s="255">
        <v>9</v>
      </c>
      <c r="Y52" s="255">
        <v>10</v>
      </c>
      <c r="Z52" s="256">
        <v>11</v>
      </c>
      <c r="AA52" s="257">
        <v>12</v>
      </c>
      <c r="AB52" s="255">
        <v>13</v>
      </c>
      <c r="AC52" s="255">
        <v>14</v>
      </c>
      <c r="AD52" s="255">
        <v>15</v>
      </c>
      <c r="AE52" s="255">
        <v>16</v>
      </c>
      <c r="AF52" s="255">
        <v>17</v>
      </c>
      <c r="AG52" s="256">
        <v>18</v>
      </c>
      <c r="AH52" s="257">
        <v>19</v>
      </c>
      <c r="AI52" s="255">
        <v>20</v>
      </c>
      <c r="AJ52" s="255">
        <v>21</v>
      </c>
      <c r="AK52" s="255">
        <v>22</v>
      </c>
      <c r="AL52" s="255">
        <v>23</v>
      </c>
      <c r="AM52" s="255">
        <v>24</v>
      </c>
      <c r="AN52" s="256">
        <v>25</v>
      </c>
      <c r="AO52" s="257">
        <v>26</v>
      </c>
      <c r="AP52" s="255">
        <v>27</v>
      </c>
      <c r="AQ52" s="255">
        <v>28</v>
      </c>
      <c r="AR52" s="255">
        <v>29</v>
      </c>
      <c r="AS52" s="312">
        <v>30</v>
      </c>
      <c r="AT52" s="296"/>
    </row>
    <row r="53" spans="2:46" s="260" customFormat="1" ht="17.25" customHeight="1" thickBot="1">
      <c r="B53" s="857"/>
      <c r="C53" s="859"/>
      <c r="D53" s="859"/>
      <c r="E53" s="261" t="s">
        <v>201</v>
      </c>
      <c r="F53" s="261" t="s">
        <v>202</v>
      </c>
      <c r="G53" s="261" t="s">
        <v>203</v>
      </c>
      <c r="H53" s="859"/>
      <c r="I53" s="864"/>
      <c r="J53" s="865"/>
      <c r="K53" s="865"/>
      <c r="L53" s="865"/>
      <c r="M53" s="865"/>
      <c r="N53" s="866"/>
      <c r="O53" s="868"/>
      <c r="P53" s="262">
        <v>2</v>
      </c>
      <c r="Q53" s="263">
        <v>2</v>
      </c>
      <c r="R53" s="263"/>
      <c r="S53" s="263"/>
      <c r="T53" s="263"/>
      <c r="U53" s="263"/>
      <c r="V53" s="263">
        <v>2</v>
      </c>
      <c r="W53" s="263">
        <v>2</v>
      </c>
      <c r="X53" s="263">
        <v>2</v>
      </c>
      <c r="Y53" s="263">
        <v>2</v>
      </c>
      <c r="Z53" s="263">
        <v>2</v>
      </c>
      <c r="AA53" s="263"/>
      <c r="AB53" s="263">
        <v>2</v>
      </c>
      <c r="AC53" s="263">
        <v>2</v>
      </c>
      <c r="AD53" s="263">
        <v>2</v>
      </c>
      <c r="AE53" s="263">
        <v>2</v>
      </c>
      <c r="AF53" s="263">
        <v>2</v>
      </c>
      <c r="AG53" s="263">
        <v>2</v>
      </c>
      <c r="AH53" s="263"/>
      <c r="AI53" s="263">
        <v>2</v>
      </c>
      <c r="AJ53" s="263">
        <v>2</v>
      </c>
      <c r="AK53" s="263">
        <v>2</v>
      </c>
      <c r="AL53" s="263">
        <v>2</v>
      </c>
      <c r="AM53" s="263">
        <v>2</v>
      </c>
      <c r="AN53" s="263">
        <v>2</v>
      </c>
      <c r="AO53" s="263"/>
      <c r="AP53" s="263">
        <v>2</v>
      </c>
      <c r="AQ53" s="263">
        <v>2</v>
      </c>
      <c r="AR53" s="263">
        <v>2</v>
      </c>
      <c r="AS53" s="263">
        <v>2</v>
      </c>
      <c r="AT53" s="296"/>
    </row>
    <row r="54" spans="2:46" s="260" customFormat="1" ht="30" customHeight="1">
      <c r="B54" s="853" t="s">
        <v>41</v>
      </c>
      <c r="C54" s="843" t="s">
        <v>261</v>
      </c>
      <c r="D54" s="843" t="s">
        <v>127</v>
      </c>
      <c r="E54" s="843" t="s">
        <v>136</v>
      </c>
      <c r="F54" s="843" t="s">
        <v>205</v>
      </c>
      <c r="G54" s="843">
        <v>35</v>
      </c>
      <c r="H54" s="843">
        <v>2000</v>
      </c>
      <c r="I54" s="844" t="s">
        <v>206</v>
      </c>
      <c r="J54" s="845"/>
      <c r="K54" s="845"/>
      <c r="L54" s="845"/>
      <c r="M54" s="845"/>
      <c r="N54" s="846"/>
      <c r="O54" s="275">
        <f t="shared" ref="O54:O63" si="1">SUM(P54:AS54)</f>
        <v>940</v>
      </c>
      <c r="P54" s="328">
        <v>280</v>
      </c>
      <c r="Q54" s="329">
        <v>280</v>
      </c>
      <c r="R54" s="330"/>
      <c r="S54" s="330"/>
      <c r="T54" s="330"/>
      <c r="U54" s="330"/>
      <c r="V54" s="329">
        <v>280</v>
      </c>
      <c r="W54" s="329">
        <v>100</v>
      </c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296"/>
    </row>
    <row r="55" spans="2:46" s="260" customFormat="1" ht="30" customHeight="1">
      <c r="B55" s="840"/>
      <c r="C55" s="842"/>
      <c r="D55" s="842"/>
      <c r="E55" s="842"/>
      <c r="F55" s="842"/>
      <c r="G55" s="842"/>
      <c r="H55" s="842"/>
      <c r="I55" s="847" t="s">
        <v>207</v>
      </c>
      <c r="J55" s="848"/>
      <c r="K55" s="848"/>
      <c r="L55" s="848"/>
      <c r="M55" s="848"/>
      <c r="N55" s="849"/>
      <c r="O55" s="270">
        <f t="shared" si="1"/>
        <v>960</v>
      </c>
      <c r="P55" s="331">
        <v>280</v>
      </c>
      <c r="Q55" s="332">
        <v>280</v>
      </c>
      <c r="R55" s="333"/>
      <c r="S55" s="333"/>
      <c r="T55" s="333"/>
      <c r="U55" s="333"/>
      <c r="V55" s="332">
        <v>280</v>
      </c>
      <c r="W55" s="332">
        <v>120</v>
      </c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296"/>
    </row>
    <row r="56" spans="2:46" s="280" customFormat="1" ht="30" customHeight="1">
      <c r="B56" s="839" t="s">
        <v>43</v>
      </c>
      <c r="C56" s="491" t="s">
        <v>263</v>
      </c>
      <c r="D56" s="490" t="s">
        <v>127</v>
      </c>
      <c r="E56" s="490" t="s">
        <v>138</v>
      </c>
      <c r="F56" s="490" t="s">
        <v>205</v>
      </c>
      <c r="G56" s="490">
        <v>50</v>
      </c>
      <c r="H56" s="490">
        <v>1000</v>
      </c>
      <c r="I56" s="883" t="s">
        <v>206</v>
      </c>
      <c r="J56" s="884"/>
      <c r="K56" s="884"/>
      <c r="L56" s="884"/>
      <c r="M56" s="884"/>
      <c r="N56" s="885"/>
      <c r="O56" s="275">
        <f t="shared" si="1"/>
        <v>1000</v>
      </c>
      <c r="P56" s="276"/>
      <c r="Q56" s="277"/>
      <c r="R56" s="278"/>
      <c r="S56" s="278"/>
      <c r="T56" s="278"/>
      <c r="U56" s="278"/>
      <c r="V56" s="277"/>
      <c r="W56" s="277">
        <v>40</v>
      </c>
      <c r="X56" s="277">
        <v>240</v>
      </c>
      <c r="Y56" s="277">
        <v>240</v>
      </c>
      <c r="Z56" s="277">
        <v>240</v>
      </c>
      <c r="AA56" s="277"/>
      <c r="AB56" s="277">
        <v>240</v>
      </c>
      <c r="AC56" s="277"/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313"/>
    </row>
    <row r="57" spans="2:46" s="280" customFormat="1" ht="30" customHeight="1">
      <c r="B57" s="840"/>
      <c r="C57" s="489"/>
      <c r="D57" s="489"/>
      <c r="E57" s="489"/>
      <c r="F57" s="489"/>
      <c r="G57" s="489"/>
      <c r="H57" s="489"/>
      <c r="I57" s="847" t="s">
        <v>207</v>
      </c>
      <c r="J57" s="848"/>
      <c r="K57" s="848"/>
      <c r="L57" s="848"/>
      <c r="M57" s="848"/>
      <c r="N57" s="849"/>
      <c r="O57" s="270">
        <f t="shared" si="1"/>
        <v>1000</v>
      </c>
      <c r="P57" s="331"/>
      <c r="Q57" s="332"/>
      <c r="R57" s="333"/>
      <c r="S57" s="333"/>
      <c r="T57" s="333"/>
      <c r="U57" s="333"/>
      <c r="V57" s="332"/>
      <c r="W57" s="332"/>
      <c r="X57" s="332">
        <v>240</v>
      </c>
      <c r="Y57" s="332">
        <v>240</v>
      </c>
      <c r="Z57" s="332">
        <v>240</v>
      </c>
      <c r="AA57" s="332"/>
      <c r="AB57" s="332">
        <v>240</v>
      </c>
      <c r="AC57" s="332">
        <v>40</v>
      </c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2"/>
      <c r="AQ57" s="332"/>
      <c r="AR57" s="332"/>
      <c r="AS57" s="332"/>
      <c r="AT57" s="313"/>
    </row>
    <row r="58" spans="2:46" s="280" customFormat="1" ht="30" customHeight="1">
      <c r="B58" s="839" t="s">
        <v>44</v>
      </c>
      <c r="C58" s="491" t="s">
        <v>221</v>
      </c>
      <c r="D58" s="490" t="s">
        <v>127</v>
      </c>
      <c r="E58" s="490" t="s">
        <v>136</v>
      </c>
      <c r="F58" s="490" t="s">
        <v>205</v>
      </c>
      <c r="G58" s="490">
        <v>50</v>
      </c>
      <c r="H58" s="490">
        <v>1000</v>
      </c>
      <c r="I58" s="883" t="s">
        <v>206</v>
      </c>
      <c r="J58" s="884"/>
      <c r="K58" s="884"/>
      <c r="L58" s="884"/>
      <c r="M58" s="884"/>
      <c r="N58" s="885"/>
      <c r="O58" s="275">
        <f t="shared" si="1"/>
        <v>1000</v>
      </c>
      <c r="P58" s="276"/>
      <c r="Q58" s="277"/>
      <c r="R58" s="278"/>
      <c r="S58" s="278"/>
      <c r="T58" s="278"/>
      <c r="U58" s="278"/>
      <c r="V58" s="277"/>
      <c r="W58" s="277"/>
      <c r="X58" s="277"/>
      <c r="Y58" s="277"/>
      <c r="Z58" s="277"/>
      <c r="AA58" s="277"/>
      <c r="AB58" s="277"/>
      <c r="AC58" s="277">
        <v>240</v>
      </c>
      <c r="AD58" s="277">
        <v>240</v>
      </c>
      <c r="AE58" s="277">
        <v>240</v>
      </c>
      <c r="AF58" s="277">
        <v>240</v>
      </c>
      <c r="AG58" s="277">
        <v>40</v>
      </c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313"/>
    </row>
    <row r="59" spans="2:46" s="280" customFormat="1" ht="30" customHeight="1">
      <c r="B59" s="840"/>
      <c r="C59" s="489"/>
      <c r="D59" s="489"/>
      <c r="E59" s="489"/>
      <c r="F59" s="489"/>
      <c r="G59" s="489"/>
      <c r="H59" s="489"/>
      <c r="I59" s="847" t="s">
        <v>207</v>
      </c>
      <c r="J59" s="848"/>
      <c r="K59" s="848"/>
      <c r="L59" s="848"/>
      <c r="M59" s="848"/>
      <c r="N59" s="849"/>
      <c r="O59" s="270">
        <f t="shared" si="1"/>
        <v>1000</v>
      </c>
      <c r="P59" s="331"/>
      <c r="Q59" s="332"/>
      <c r="R59" s="333"/>
      <c r="S59" s="333"/>
      <c r="T59" s="333"/>
      <c r="U59" s="333"/>
      <c r="V59" s="332"/>
      <c r="W59" s="332"/>
      <c r="X59" s="332"/>
      <c r="Y59" s="332"/>
      <c r="Z59" s="332"/>
      <c r="AA59" s="332"/>
      <c r="AB59" s="332"/>
      <c r="AC59" s="332">
        <v>200</v>
      </c>
      <c r="AD59" s="332">
        <v>240</v>
      </c>
      <c r="AE59" s="332">
        <v>240</v>
      </c>
      <c r="AF59" s="332">
        <v>240</v>
      </c>
      <c r="AG59" s="332">
        <v>80</v>
      </c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13"/>
    </row>
    <row r="60" spans="2:46" s="280" customFormat="1" ht="30" customHeight="1">
      <c r="B60" s="839" t="s">
        <v>45</v>
      </c>
      <c r="C60" s="491" t="s">
        <v>222</v>
      </c>
      <c r="D60" s="490" t="s">
        <v>127</v>
      </c>
      <c r="E60" s="490" t="s">
        <v>138</v>
      </c>
      <c r="F60" s="490" t="s">
        <v>205</v>
      </c>
      <c r="G60" s="490">
        <v>35</v>
      </c>
      <c r="H60" s="490">
        <v>2000</v>
      </c>
      <c r="I60" s="883" t="s">
        <v>206</v>
      </c>
      <c r="J60" s="884"/>
      <c r="K60" s="884"/>
      <c r="L60" s="884"/>
      <c r="M60" s="884"/>
      <c r="N60" s="885"/>
      <c r="O60" s="275">
        <f t="shared" si="1"/>
        <v>2000</v>
      </c>
      <c r="P60" s="314"/>
      <c r="Q60" s="277"/>
      <c r="R60" s="278"/>
      <c r="S60" s="278"/>
      <c r="T60" s="278"/>
      <c r="U60" s="278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>
        <v>180</v>
      </c>
      <c r="AH60" s="277"/>
      <c r="AI60" s="277">
        <v>280</v>
      </c>
      <c r="AJ60" s="277">
        <v>280</v>
      </c>
      <c r="AK60" s="277">
        <v>280</v>
      </c>
      <c r="AL60" s="277">
        <v>280</v>
      </c>
      <c r="AM60" s="277">
        <v>280</v>
      </c>
      <c r="AN60" s="277">
        <v>280</v>
      </c>
      <c r="AO60" s="277"/>
      <c r="AP60" s="277">
        <v>140</v>
      </c>
      <c r="AQ60" s="277"/>
      <c r="AR60" s="277"/>
      <c r="AS60" s="277"/>
      <c r="AT60" s="313"/>
    </row>
    <row r="61" spans="2:46" s="280" customFormat="1" ht="30" customHeight="1">
      <c r="B61" s="840"/>
      <c r="C61" s="489"/>
      <c r="D61" s="489"/>
      <c r="E61" s="489"/>
      <c r="F61" s="489"/>
      <c r="G61" s="489"/>
      <c r="H61" s="489"/>
      <c r="I61" s="847" t="s">
        <v>207</v>
      </c>
      <c r="J61" s="848"/>
      <c r="K61" s="848"/>
      <c r="L61" s="848"/>
      <c r="M61" s="848"/>
      <c r="N61" s="849"/>
      <c r="O61" s="270">
        <f t="shared" si="1"/>
        <v>2000</v>
      </c>
      <c r="P61" s="331"/>
      <c r="Q61" s="332"/>
      <c r="R61" s="333"/>
      <c r="S61" s="333"/>
      <c r="T61" s="333"/>
      <c r="U61" s="333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>
        <v>100</v>
      </c>
      <c r="AH61" s="332"/>
      <c r="AI61" s="332">
        <v>280</v>
      </c>
      <c r="AJ61" s="332">
        <v>280</v>
      </c>
      <c r="AK61" s="332">
        <v>280</v>
      </c>
      <c r="AL61" s="332">
        <v>280</v>
      </c>
      <c r="AM61" s="332">
        <v>280</v>
      </c>
      <c r="AN61" s="332">
        <v>280</v>
      </c>
      <c r="AO61" s="332"/>
      <c r="AP61" s="332">
        <v>220</v>
      </c>
      <c r="AQ61" s="332"/>
      <c r="AR61" s="332"/>
      <c r="AS61" s="517"/>
      <c r="AT61" s="313"/>
    </row>
    <row r="62" spans="2:46" s="260" customFormat="1" ht="30" customHeight="1">
      <c r="B62" s="839" t="s">
        <v>46</v>
      </c>
      <c r="C62" s="841" t="s">
        <v>223</v>
      </c>
      <c r="D62" s="843" t="s">
        <v>127</v>
      </c>
      <c r="E62" s="843" t="s">
        <v>138</v>
      </c>
      <c r="F62" s="843" t="s">
        <v>205</v>
      </c>
      <c r="G62" s="843">
        <v>50</v>
      </c>
      <c r="H62" s="843">
        <v>2000</v>
      </c>
      <c r="I62" s="844" t="s">
        <v>206</v>
      </c>
      <c r="J62" s="845"/>
      <c r="K62" s="845"/>
      <c r="L62" s="845"/>
      <c r="M62" s="845"/>
      <c r="N62" s="846"/>
      <c r="O62" s="275">
        <f t="shared" si="1"/>
        <v>800</v>
      </c>
      <c r="P62" s="314"/>
      <c r="Q62" s="277"/>
      <c r="R62" s="278"/>
      <c r="S62" s="278"/>
      <c r="T62" s="278"/>
      <c r="U62" s="278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>
        <v>80</v>
      </c>
      <c r="AQ62" s="277">
        <v>240</v>
      </c>
      <c r="AR62" s="277">
        <v>240</v>
      </c>
      <c r="AS62" s="279">
        <v>240</v>
      </c>
      <c r="AT62" s="296"/>
    </row>
    <row r="63" spans="2:46" s="260" customFormat="1" ht="30" customHeight="1" thickBot="1">
      <c r="B63" s="840"/>
      <c r="C63" s="842"/>
      <c r="D63" s="842"/>
      <c r="E63" s="842"/>
      <c r="F63" s="842"/>
      <c r="G63" s="842"/>
      <c r="H63" s="842"/>
      <c r="I63" s="847" t="s">
        <v>207</v>
      </c>
      <c r="J63" s="848"/>
      <c r="K63" s="848"/>
      <c r="L63" s="848"/>
      <c r="M63" s="848"/>
      <c r="N63" s="849"/>
      <c r="O63" s="270">
        <f t="shared" si="1"/>
        <v>720</v>
      </c>
      <c r="P63" s="315"/>
      <c r="Q63" s="298"/>
      <c r="R63" s="316"/>
      <c r="S63" s="316"/>
      <c r="T63" s="316"/>
      <c r="U63" s="316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/>
      <c r="AQ63" s="298">
        <v>240</v>
      </c>
      <c r="AR63" s="298">
        <v>240</v>
      </c>
      <c r="AS63" s="299">
        <v>240</v>
      </c>
      <c r="AT63" s="296"/>
    </row>
    <row r="64" spans="2:46" s="260" customFormat="1" ht="30" hidden="1" customHeight="1">
      <c r="B64" s="288"/>
      <c r="C64" s="289"/>
      <c r="D64" s="289"/>
      <c r="E64" s="289"/>
      <c r="F64" s="289"/>
      <c r="G64" s="289"/>
      <c r="H64" s="289"/>
      <c r="I64" s="290"/>
      <c r="J64" s="290"/>
      <c r="K64" s="291"/>
      <c r="L64" s="291"/>
      <c r="M64" s="292"/>
      <c r="N64" s="293"/>
      <c r="O64" s="294"/>
      <c r="P64" s="297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9"/>
      <c r="AT64" s="296"/>
    </row>
    <row r="65" spans="2:46" s="260" customFormat="1" ht="30" hidden="1" customHeight="1" thickBot="1">
      <c r="B65" s="317"/>
      <c r="C65" s="318"/>
      <c r="D65" s="318"/>
      <c r="E65" s="318"/>
      <c r="F65" s="318"/>
      <c r="G65" s="318"/>
      <c r="H65" s="318"/>
      <c r="I65" s="319"/>
      <c r="J65" s="319"/>
      <c r="K65" s="320"/>
      <c r="L65" s="320"/>
      <c r="M65" s="321"/>
      <c r="N65" s="322"/>
      <c r="O65" s="323"/>
      <c r="P65" s="285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7"/>
      <c r="AT65" s="296"/>
    </row>
    <row r="66" spans="2:46" s="305" customFormat="1" ht="30" customHeight="1">
      <c r="B66" s="300"/>
      <c r="C66" s="301"/>
      <c r="D66" s="301"/>
      <c r="E66" s="302"/>
      <c r="F66" s="302"/>
      <c r="G66" s="302"/>
      <c r="H66" s="303"/>
      <c r="I66" s="850" t="s">
        <v>206</v>
      </c>
      <c r="J66" s="851"/>
      <c r="K66" s="851"/>
      <c r="L66" s="851"/>
      <c r="M66" s="851"/>
      <c r="N66" s="852"/>
      <c r="O66" s="304">
        <f>SUM(O54,O56,O58,O60)</f>
        <v>4940</v>
      </c>
      <c r="P66" s="324"/>
      <c r="Q66" s="324"/>
      <c r="R66" s="585" t="s">
        <v>217</v>
      </c>
      <c r="S66" s="586"/>
      <c r="T66" s="586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4"/>
      <c r="AP66" s="324"/>
      <c r="AQ66" s="324"/>
      <c r="AR66" s="324"/>
      <c r="AS66" s="324"/>
      <c r="AT66" s="325"/>
    </row>
    <row r="67" spans="2:46" s="305" customFormat="1" ht="30" customHeight="1" thickBot="1">
      <c r="B67" s="306"/>
      <c r="C67" s="307"/>
      <c r="D67" s="307"/>
      <c r="E67" s="308"/>
      <c r="F67" s="308"/>
      <c r="G67" s="308"/>
      <c r="H67" s="309"/>
      <c r="I67" s="836" t="s">
        <v>207</v>
      </c>
      <c r="J67" s="837"/>
      <c r="K67" s="837"/>
      <c r="L67" s="837"/>
      <c r="M67" s="837"/>
      <c r="N67" s="838"/>
      <c r="O67" s="310">
        <f>SUM(O55,O57,O59,O61)</f>
        <v>4960</v>
      </c>
      <c r="P67" s="326"/>
      <c r="Q67" s="326"/>
      <c r="R67" s="891">
        <v>540</v>
      </c>
      <c r="S67" s="891"/>
      <c r="T67" s="891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25"/>
    </row>
    <row r="68" spans="2:46" ht="27.75" customHeight="1">
      <c r="D68" s="246" t="s">
        <v>224</v>
      </c>
      <c r="O68" s="248">
        <f>O62+O74</f>
        <v>2000</v>
      </c>
    </row>
    <row r="69" spans="2:46" ht="18" customHeight="1">
      <c r="D69" s="247" t="s">
        <v>193</v>
      </c>
      <c r="O69" s="248">
        <f>O63+O75</f>
        <v>2000</v>
      </c>
      <c r="V69" s="869"/>
      <c r="W69" s="869"/>
    </row>
    <row r="70" spans="2:46" ht="5.25" customHeight="1"/>
    <row r="71" spans="2:46" s="248" customFormat="1" ht="16.5" customHeight="1" thickBot="1">
      <c r="E71" s="249" t="s">
        <v>194</v>
      </c>
      <c r="F71" s="250">
        <f>I71-N71</f>
        <v>3</v>
      </c>
      <c r="G71" s="251"/>
      <c r="H71" s="249" t="s">
        <v>195</v>
      </c>
      <c r="I71" s="854">
        <v>19</v>
      </c>
      <c r="J71" s="854"/>
      <c r="K71" s="252"/>
      <c r="M71" s="249" t="s">
        <v>196</v>
      </c>
      <c r="N71" s="855">
        <f>COUNT(P73:AS73)</f>
        <v>16</v>
      </c>
      <c r="O71" s="855"/>
      <c r="P71" s="253" t="s">
        <v>123</v>
      </c>
      <c r="Q71" s="253" t="s">
        <v>119</v>
      </c>
      <c r="R71" s="253" t="s">
        <v>119</v>
      </c>
      <c r="S71" s="253" t="s">
        <v>120</v>
      </c>
      <c r="T71" s="253" t="s">
        <v>121</v>
      </c>
      <c r="U71" s="253" t="s">
        <v>122</v>
      </c>
      <c r="V71" s="253" t="s">
        <v>121</v>
      </c>
      <c r="W71" s="253" t="s">
        <v>123</v>
      </c>
      <c r="X71" s="253" t="s">
        <v>119</v>
      </c>
      <c r="Y71" s="253" t="s">
        <v>119</v>
      </c>
      <c r="Z71" s="253" t="s">
        <v>120</v>
      </c>
      <c r="AA71" s="253" t="s">
        <v>121</v>
      </c>
      <c r="AB71" s="253" t="s">
        <v>122</v>
      </c>
      <c r="AC71" s="253" t="s">
        <v>121</v>
      </c>
      <c r="AD71" s="253" t="s">
        <v>123</v>
      </c>
      <c r="AE71" s="253" t="s">
        <v>119</v>
      </c>
      <c r="AF71" s="253" t="s">
        <v>119</v>
      </c>
      <c r="AG71" s="253" t="s">
        <v>120</v>
      </c>
      <c r="AH71" s="253" t="s">
        <v>121</v>
      </c>
      <c r="AI71" s="253" t="s">
        <v>122</v>
      </c>
      <c r="AJ71" s="253" t="s">
        <v>121</v>
      </c>
      <c r="AK71" s="253" t="s">
        <v>123</v>
      </c>
      <c r="AL71" s="253" t="s">
        <v>119</v>
      </c>
      <c r="AM71" s="253" t="s">
        <v>119</v>
      </c>
      <c r="AN71" s="253" t="s">
        <v>120</v>
      </c>
      <c r="AO71" s="253" t="s">
        <v>121</v>
      </c>
      <c r="AP71" s="253" t="s">
        <v>122</v>
      </c>
      <c r="AQ71" s="253" t="s">
        <v>121</v>
      </c>
      <c r="AR71" s="253" t="s">
        <v>123</v>
      </c>
      <c r="AS71" s="253" t="s">
        <v>119</v>
      </c>
      <c r="AT71" s="253" t="s">
        <v>119</v>
      </c>
    </row>
    <row r="72" spans="2:46" s="260" customFormat="1" ht="18" customHeight="1" thickBot="1">
      <c r="B72" s="856" t="s">
        <v>115</v>
      </c>
      <c r="C72" s="858" t="s">
        <v>117</v>
      </c>
      <c r="D72" s="858" t="s">
        <v>116</v>
      </c>
      <c r="E72" s="858" t="s">
        <v>197</v>
      </c>
      <c r="F72" s="858"/>
      <c r="G72" s="858"/>
      <c r="H72" s="860" t="s">
        <v>198</v>
      </c>
      <c r="I72" s="861" t="s">
        <v>199</v>
      </c>
      <c r="J72" s="862"/>
      <c r="K72" s="862"/>
      <c r="L72" s="862"/>
      <c r="M72" s="862"/>
      <c r="N72" s="863"/>
      <c r="O72" s="867" t="s">
        <v>200</v>
      </c>
      <c r="P72" s="327">
        <v>1</v>
      </c>
      <c r="Q72" s="256">
        <v>2</v>
      </c>
      <c r="R72" s="257">
        <v>3</v>
      </c>
      <c r="S72" s="255">
        <v>4</v>
      </c>
      <c r="T72" s="255">
        <v>5</v>
      </c>
      <c r="U72" s="255">
        <v>6</v>
      </c>
      <c r="V72" s="255">
        <v>7</v>
      </c>
      <c r="W72" s="255">
        <v>8</v>
      </c>
      <c r="X72" s="256">
        <v>9</v>
      </c>
      <c r="Y72" s="257">
        <v>10</v>
      </c>
      <c r="Z72" s="255">
        <v>11</v>
      </c>
      <c r="AA72" s="255">
        <v>12</v>
      </c>
      <c r="AB72" s="255">
        <v>13</v>
      </c>
      <c r="AC72" s="255">
        <v>14</v>
      </c>
      <c r="AD72" s="255">
        <v>15</v>
      </c>
      <c r="AE72" s="256">
        <v>16</v>
      </c>
      <c r="AF72" s="257">
        <v>17</v>
      </c>
      <c r="AG72" s="255">
        <v>18</v>
      </c>
      <c r="AH72" s="255">
        <v>19</v>
      </c>
      <c r="AI72" s="255">
        <v>20</v>
      </c>
      <c r="AJ72" s="255">
        <v>21</v>
      </c>
      <c r="AK72" s="255">
        <v>22</v>
      </c>
      <c r="AL72" s="256">
        <v>23</v>
      </c>
      <c r="AM72" s="257">
        <v>24</v>
      </c>
      <c r="AN72" s="255">
        <v>25</v>
      </c>
      <c r="AO72" s="255">
        <v>26</v>
      </c>
      <c r="AP72" s="255">
        <v>27</v>
      </c>
      <c r="AQ72" s="255">
        <v>28</v>
      </c>
      <c r="AR72" s="255">
        <v>29</v>
      </c>
      <c r="AS72" s="256">
        <v>30</v>
      </c>
      <c r="AT72" s="257">
        <v>31</v>
      </c>
    </row>
    <row r="73" spans="2:46" s="260" customFormat="1" ht="17.25" customHeight="1" thickBot="1">
      <c r="B73" s="857"/>
      <c r="C73" s="859"/>
      <c r="D73" s="859"/>
      <c r="E73" s="261" t="s">
        <v>201</v>
      </c>
      <c r="F73" s="261" t="s">
        <v>202</v>
      </c>
      <c r="G73" s="261" t="s">
        <v>203</v>
      </c>
      <c r="H73" s="859"/>
      <c r="I73" s="864"/>
      <c r="J73" s="865"/>
      <c r="K73" s="865"/>
      <c r="L73" s="865"/>
      <c r="M73" s="865"/>
      <c r="N73" s="866"/>
      <c r="O73" s="868"/>
      <c r="P73" s="262">
        <v>2</v>
      </c>
      <c r="Q73" s="263">
        <v>2</v>
      </c>
      <c r="R73" s="263"/>
      <c r="S73" s="263">
        <v>2</v>
      </c>
      <c r="T73" s="263">
        <v>2</v>
      </c>
      <c r="U73" s="263">
        <v>2</v>
      </c>
      <c r="V73" s="263">
        <v>2</v>
      </c>
      <c r="W73" s="263">
        <v>2</v>
      </c>
      <c r="X73" s="263">
        <v>2</v>
      </c>
      <c r="Y73" s="263"/>
      <c r="Z73" s="263">
        <v>2</v>
      </c>
      <c r="AA73" s="263">
        <v>2</v>
      </c>
      <c r="AB73" s="263">
        <v>2</v>
      </c>
      <c r="AC73" s="263">
        <v>2</v>
      </c>
      <c r="AD73" s="263">
        <v>2</v>
      </c>
      <c r="AE73" s="263">
        <v>2</v>
      </c>
      <c r="AF73" s="263"/>
      <c r="AG73" s="263">
        <v>2</v>
      </c>
      <c r="AH73" s="263">
        <v>2</v>
      </c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</row>
    <row r="74" spans="2:46" s="260" customFormat="1" ht="30" customHeight="1">
      <c r="B74" s="853" t="s">
        <v>41</v>
      </c>
      <c r="C74" s="491" t="s">
        <v>223</v>
      </c>
      <c r="D74" s="490" t="s">
        <v>127</v>
      </c>
      <c r="E74" s="490" t="s">
        <v>138</v>
      </c>
      <c r="F74" s="490" t="s">
        <v>205</v>
      </c>
      <c r="G74" s="490">
        <v>50</v>
      </c>
      <c r="H74" s="490">
        <v>2000</v>
      </c>
      <c r="I74" s="888" t="s">
        <v>206</v>
      </c>
      <c r="J74" s="889"/>
      <c r="K74" s="889"/>
      <c r="L74" s="889"/>
      <c r="M74" s="889"/>
      <c r="N74" s="890"/>
      <c r="O74" s="275">
        <f t="shared" ref="O74:O79" si="2">SUM(P74:AS74)</f>
        <v>1200</v>
      </c>
      <c r="P74" s="328">
        <v>240</v>
      </c>
      <c r="Q74" s="329">
        <v>240</v>
      </c>
      <c r="R74" s="329"/>
      <c r="S74" s="329">
        <v>240</v>
      </c>
      <c r="T74" s="329">
        <v>240</v>
      </c>
      <c r="U74" s="329">
        <v>240</v>
      </c>
      <c r="V74" s="329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518"/>
    </row>
    <row r="75" spans="2:46" s="260" customFormat="1" ht="30" customHeight="1">
      <c r="B75" s="840"/>
      <c r="C75" s="489"/>
      <c r="D75" s="489"/>
      <c r="E75" s="489"/>
      <c r="F75" s="489"/>
      <c r="G75" s="489"/>
      <c r="H75" s="489"/>
      <c r="I75" s="847" t="s">
        <v>207</v>
      </c>
      <c r="J75" s="848"/>
      <c r="K75" s="848"/>
      <c r="L75" s="848"/>
      <c r="M75" s="848"/>
      <c r="N75" s="849"/>
      <c r="O75" s="270">
        <f t="shared" si="2"/>
        <v>1280</v>
      </c>
      <c r="P75" s="331">
        <v>240</v>
      </c>
      <c r="Q75" s="332">
        <v>240</v>
      </c>
      <c r="R75" s="332"/>
      <c r="S75" s="332">
        <v>240</v>
      </c>
      <c r="T75" s="332">
        <v>240</v>
      </c>
      <c r="U75" s="332">
        <v>240</v>
      </c>
      <c r="V75" s="332">
        <v>80</v>
      </c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519"/>
    </row>
    <row r="76" spans="2:46" s="280" customFormat="1" ht="30" customHeight="1">
      <c r="B76" s="839" t="s">
        <v>42</v>
      </c>
      <c r="C76" s="491" t="s">
        <v>225</v>
      </c>
      <c r="D76" s="490" t="s">
        <v>127</v>
      </c>
      <c r="E76" s="490" t="s">
        <v>138</v>
      </c>
      <c r="F76" s="490" t="s">
        <v>205</v>
      </c>
      <c r="G76" s="490">
        <v>50</v>
      </c>
      <c r="H76" s="490">
        <v>1000</v>
      </c>
      <c r="I76" s="883" t="s">
        <v>206</v>
      </c>
      <c r="J76" s="884"/>
      <c r="K76" s="884"/>
      <c r="L76" s="884"/>
      <c r="M76" s="884"/>
      <c r="N76" s="885"/>
      <c r="O76" s="275">
        <f t="shared" si="2"/>
        <v>1000</v>
      </c>
      <c r="P76" s="276"/>
      <c r="Q76" s="277"/>
      <c r="R76" s="277"/>
      <c r="S76" s="277"/>
      <c r="T76" s="277"/>
      <c r="U76" s="277"/>
      <c r="V76" s="277">
        <v>240</v>
      </c>
      <c r="W76" s="277">
        <v>240</v>
      </c>
      <c r="X76" s="277">
        <v>240</v>
      </c>
      <c r="Y76" s="277"/>
      <c r="Z76" s="277">
        <v>240</v>
      </c>
      <c r="AA76" s="277">
        <v>40</v>
      </c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520"/>
    </row>
    <row r="77" spans="2:46" s="280" customFormat="1" ht="30" customHeight="1">
      <c r="B77" s="840"/>
      <c r="C77" s="489"/>
      <c r="D77" s="489"/>
      <c r="E77" s="489"/>
      <c r="F77" s="489"/>
      <c r="G77" s="489"/>
      <c r="H77" s="489"/>
      <c r="I77" s="847" t="s">
        <v>207</v>
      </c>
      <c r="J77" s="848"/>
      <c r="K77" s="848"/>
      <c r="L77" s="848"/>
      <c r="M77" s="848"/>
      <c r="N77" s="849"/>
      <c r="O77" s="270">
        <f t="shared" si="2"/>
        <v>1000</v>
      </c>
      <c r="P77" s="331"/>
      <c r="Q77" s="332"/>
      <c r="R77" s="332"/>
      <c r="S77" s="332"/>
      <c r="T77" s="332"/>
      <c r="U77" s="332"/>
      <c r="V77" s="332">
        <v>140</v>
      </c>
      <c r="W77" s="332">
        <v>240</v>
      </c>
      <c r="X77" s="332">
        <v>240</v>
      </c>
      <c r="Y77" s="332"/>
      <c r="Z77" s="332">
        <v>240</v>
      </c>
      <c r="AA77" s="332">
        <v>140</v>
      </c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519"/>
    </row>
    <row r="78" spans="2:46" s="280" customFormat="1" ht="30" customHeight="1">
      <c r="B78" s="839" t="s">
        <v>43</v>
      </c>
      <c r="C78" s="491" t="s">
        <v>341</v>
      </c>
      <c r="D78" s="490" t="s">
        <v>127</v>
      </c>
      <c r="E78" s="490">
        <v>0</v>
      </c>
      <c r="F78" s="490" t="s">
        <v>205</v>
      </c>
      <c r="G78" s="490">
        <v>110</v>
      </c>
      <c r="H78" s="490">
        <v>1500</v>
      </c>
      <c r="I78" s="883" t="s">
        <v>206</v>
      </c>
      <c r="J78" s="884"/>
      <c r="K78" s="884"/>
      <c r="L78" s="884"/>
      <c r="M78" s="884"/>
      <c r="N78" s="885"/>
      <c r="O78" s="275">
        <f t="shared" si="2"/>
        <v>1500</v>
      </c>
      <c r="P78" s="276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>
        <v>160</v>
      </c>
      <c r="AB78" s="277">
        <v>240</v>
      </c>
      <c r="AC78" s="277">
        <v>240</v>
      </c>
      <c r="AD78" s="277">
        <v>240</v>
      </c>
      <c r="AE78" s="277">
        <v>240</v>
      </c>
      <c r="AF78" s="277"/>
      <c r="AG78" s="277">
        <v>240</v>
      </c>
      <c r="AH78" s="277">
        <v>140</v>
      </c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520"/>
    </row>
    <row r="79" spans="2:46" s="280" customFormat="1" ht="30" customHeight="1" thickBot="1">
      <c r="B79" s="840"/>
      <c r="C79" s="489"/>
      <c r="D79" s="489"/>
      <c r="E79" s="489"/>
      <c r="F79" s="489"/>
      <c r="G79" s="489"/>
      <c r="H79" s="489"/>
      <c r="I79" s="847" t="s">
        <v>207</v>
      </c>
      <c r="J79" s="848"/>
      <c r="K79" s="848"/>
      <c r="L79" s="848"/>
      <c r="M79" s="848"/>
      <c r="N79" s="849"/>
      <c r="O79" s="270">
        <f t="shared" si="2"/>
        <v>1500</v>
      </c>
      <c r="P79" s="331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>
        <v>80</v>
      </c>
      <c r="AB79" s="332">
        <v>240</v>
      </c>
      <c r="AC79" s="332">
        <v>240</v>
      </c>
      <c r="AD79" s="332">
        <v>240</v>
      </c>
      <c r="AE79" s="332">
        <v>240</v>
      </c>
      <c r="AF79" s="332"/>
      <c r="AG79" s="332">
        <v>240</v>
      </c>
      <c r="AH79" s="332">
        <v>220</v>
      </c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519"/>
    </row>
    <row r="80" spans="2:46" s="280" customFormat="1" ht="30" hidden="1" customHeight="1">
      <c r="B80" s="839"/>
      <c r="C80" s="841"/>
      <c r="D80" s="843"/>
      <c r="E80" s="843"/>
      <c r="F80" s="843"/>
      <c r="G80" s="843"/>
      <c r="H80" s="843"/>
      <c r="I80" s="844"/>
      <c r="J80" s="845"/>
      <c r="K80" s="845"/>
      <c r="L80" s="845"/>
      <c r="M80" s="845"/>
      <c r="N80" s="846"/>
      <c r="O80" s="275"/>
      <c r="P80" s="276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520"/>
    </row>
    <row r="81" spans="2:46" s="280" customFormat="1" ht="30" hidden="1" customHeight="1">
      <c r="B81" s="840"/>
      <c r="C81" s="842"/>
      <c r="D81" s="842"/>
      <c r="E81" s="842"/>
      <c r="F81" s="842"/>
      <c r="G81" s="842"/>
      <c r="H81" s="842"/>
      <c r="I81" s="847"/>
      <c r="J81" s="848"/>
      <c r="K81" s="848"/>
      <c r="L81" s="848"/>
      <c r="M81" s="848"/>
      <c r="N81" s="849"/>
      <c r="O81" s="270"/>
      <c r="P81" s="331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519"/>
    </row>
    <row r="82" spans="2:46" s="280" customFormat="1" ht="30" hidden="1" customHeight="1">
      <c r="B82" s="839"/>
      <c r="C82" s="841"/>
      <c r="D82" s="843"/>
      <c r="E82" s="843"/>
      <c r="F82" s="843"/>
      <c r="G82" s="843"/>
      <c r="H82" s="843"/>
      <c r="I82" s="844"/>
      <c r="J82" s="845"/>
      <c r="K82" s="845"/>
      <c r="L82" s="845"/>
      <c r="M82" s="845"/>
      <c r="N82" s="846"/>
      <c r="O82" s="275"/>
      <c r="P82" s="276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520"/>
    </row>
    <row r="83" spans="2:46" s="280" customFormat="1" ht="30" hidden="1" customHeight="1">
      <c r="B83" s="840"/>
      <c r="C83" s="842"/>
      <c r="D83" s="842"/>
      <c r="E83" s="842"/>
      <c r="F83" s="842"/>
      <c r="G83" s="842"/>
      <c r="H83" s="842"/>
      <c r="I83" s="847"/>
      <c r="J83" s="848"/>
      <c r="K83" s="848"/>
      <c r="L83" s="848"/>
      <c r="M83" s="848"/>
      <c r="N83" s="849"/>
      <c r="O83" s="270"/>
      <c r="P83" s="331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519"/>
    </row>
    <row r="84" spans="2:46" s="260" customFormat="1" ht="30" hidden="1" customHeight="1">
      <c r="B84" s="288"/>
      <c r="C84" s="289"/>
      <c r="D84" s="289"/>
      <c r="E84" s="289"/>
      <c r="F84" s="289"/>
      <c r="G84" s="289"/>
      <c r="H84" s="289"/>
      <c r="I84" s="290"/>
      <c r="J84" s="290"/>
      <c r="K84" s="291"/>
      <c r="L84" s="291"/>
      <c r="M84" s="292"/>
      <c r="N84" s="293"/>
      <c r="O84" s="294"/>
      <c r="P84" s="297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298"/>
      <c r="AQ84" s="298"/>
      <c r="AR84" s="298"/>
      <c r="AS84" s="298"/>
      <c r="AT84" s="521"/>
    </row>
    <row r="85" spans="2:46" s="260" customFormat="1" ht="30" hidden="1" customHeight="1">
      <c r="B85" s="288"/>
      <c r="C85" s="289"/>
      <c r="D85" s="289"/>
      <c r="E85" s="289"/>
      <c r="F85" s="289"/>
      <c r="G85" s="289"/>
      <c r="H85" s="289"/>
      <c r="I85" s="290"/>
      <c r="J85" s="290"/>
      <c r="K85" s="291"/>
      <c r="L85" s="291"/>
      <c r="M85" s="292"/>
      <c r="N85" s="293"/>
      <c r="O85" s="294"/>
      <c r="P85" s="297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298"/>
      <c r="AQ85" s="298"/>
      <c r="AR85" s="298"/>
      <c r="AS85" s="298"/>
      <c r="AT85" s="521"/>
    </row>
    <row r="86" spans="2:46" s="260" customFormat="1" ht="30" hidden="1" customHeight="1">
      <c r="B86" s="288"/>
      <c r="C86" s="289"/>
      <c r="D86" s="289"/>
      <c r="E86" s="289"/>
      <c r="F86" s="289"/>
      <c r="G86" s="289"/>
      <c r="H86" s="289"/>
      <c r="I86" s="290"/>
      <c r="J86" s="290"/>
      <c r="K86" s="291"/>
      <c r="L86" s="291"/>
      <c r="M86" s="292"/>
      <c r="N86" s="293"/>
      <c r="O86" s="294"/>
      <c r="P86" s="29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521"/>
    </row>
    <row r="87" spans="2:46" s="260" customFormat="1" ht="30" hidden="1" customHeight="1" thickBot="1">
      <c r="B87" s="317"/>
      <c r="C87" s="318"/>
      <c r="D87" s="318"/>
      <c r="E87" s="318"/>
      <c r="F87" s="318"/>
      <c r="G87" s="318"/>
      <c r="H87" s="318"/>
      <c r="I87" s="319"/>
      <c r="J87" s="319"/>
      <c r="K87" s="320"/>
      <c r="L87" s="320"/>
      <c r="M87" s="321"/>
      <c r="N87" s="322"/>
      <c r="O87" s="323"/>
      <c r="P87" s="285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522"/>
    </row>
    <row r="88" spans="2:46" s="305" customFormat="1" ht="30" customHeight="1">
      <c r="B88" s="300"/>
      <c r="C88" s="301"/>
      <c r="D88" s="301"/>
      <c r="E88" s="302"/>
      <c r="F88" s="302"/>
      <c r="G88" s="302"/>
      <c r="H88" s="303"/>
      <c r="I88" s="850" t="s">
        <v>206</v>
      </c>
      <c r="J88" s="851"/>
      <c r="K88" s="851"/>
      <c r="L88" s="851"/>
      <c r="M88" s="851"/>
      <c r="N88" s="852"/>
      <c r="O88" s="304">
        <f>SUM(O74,O76,O78,O80,O82)</f>
        <v>3700</v>
      </c>
      <c r="P88" s="324"/>
      <c r="Q88" s="324"/>
      <c r="R88" s="324"/>
      <c r="S88" s="324"/>
      <c r="T88" s="324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24"/>
      <c r="AN88" s="324"/>
      <c r="AO88" s="324"/>
      <c r="AP88" s="324"/>
      <c r="AQ88" s="301"/>
      <c r="AR88" s="301"/>
      <c r="AS88" s="301"/>
      <c r="AT88" s="523"/>
    </row>
    <row r="89" spans="2:46" s="305" customFormat="1" ht="30" customHeight="1" thickBot="1">
      <c r="B89" s="306"/>
      <c r="C89" s="307"/>
      <c r="D89" s="307"/>
      <c r="E89" s="308"/>
      <c r="F89" s="308"/>
      <c r="G89" s="308"/>
      <c r="H89" s="309"/>
      <c r="I89" s="836" t="s">
        <v>207</v>
      </c>
      <c r="J89" s="837"/>
      <c r="K89" s="837"/>
      <c r="L89" s="837"/>
      <c r="M89" s="837"/>
      <c r="N89" s="838"/>
      <c r="O89" s="310">
        <f>SUM(O75,O77,O79,O81,O83)</f>
        <v>3780</v>
      </c>
      <c r="P89" s="326"/>
      <c r="Q89" s="326"/>
      <c r="R89" s="326"/>
      <c r="S89" s="326"/>
      <c r="T89" s="326"/>
      <c r="U89" s="334"/>
      <c r="V89" s="334"/>
      <c r="W89" s="334"/>
      <c r="X89" s="334"/>
      <c r="Y89" s="334"/>
      <c r="Z89" s="334"/>
      <c r="AA89" s="334"/>
      <c r="AB89" s="334"/>
      <c r="AC89" s="334"/>
      <c r="AD89" s="334"/>
      <c r="AE89" s="334"/>
      <c r="AF89" s="334"/>
      <c r="AG89" s="334"/>
      <c r="AH89" s="334"/>
      <c r="AI89" s="334"/>
      <c r="AJ89" s="334"/>
      <c r="AK89" s="334"/>
      <c r="AL89" s="334"/>
      <c r="AM89" s="326"/>
      <c r="AN89" s="326"/>
      <c r="AO89" s="326"/>
      <c r="AP89" s="326"/>
      <c r="AQ89" s="334"/>
      <c r="AR89" s="334"/>
      <c r="AS89" s="334"/>
      <c r="AT89" s="524"/>
    </row>
  </sheetData>
  <mergeCells count="203">
    <mergeCell ref="I83:N83"/>
    <mergeCell ref="I88:N88"/>
    <mergeCell ref="I89:N89"/>
    <mergeCell ref="I80:N80"/>
    <mergeCell ref="I81:N81"/>
    <mergeCell ref="B82:B83"/>
    <mergeCell ref="C82:C83"/>
    <mergeCell ref="D82:D83"/>
    <mergeCell ref="E82:E83"/>
    <mergeCell ref="F82:F83"/>
    <mergeCell ref="G82:G83"/>
    <mergeCell ref="H82:H83"/>
    <mergeCell ref="I82:N82"/>
    <mergeCell ref="B78:B79"/>
    <mergeCell ref="I78:N78"/>
    <mergeCell ref="I79:N79"/>
    <mergeCell ref="B80:B81"/>
    <mergeCell ref="C80:C81"/>
    <mergeCell ref="D80:D81"/>
    <mergeCell ref="E80:E81"/>
    <mergeCell ref="F80:F81"/>
    <mergeCell ref="G80:G81"/>
    <mergeCell ref="H80:H81"/>
    <mergeCell ref="B74:B75"/>
    <mergeCell ref="I74:N74"/>
    <mergeCell ref="I75:N75"/>
    <mergeCell ref="B76:B77"/>
    <mergeCell ref="I76:N76"/>
    <mergeCell ref="I77:N77"/>
    <mergeCell ref="I71:J71"/>
    <mergeCell ref="N71:O71"/>
    <mergeCell ref="B72:B73"/>
    <mergeCell ref="C72:C73"/>
    <mergeCell ref="D72:D73"/>
    <mergeCell ref="E72:G72"/>
    <mergeCell ref="H72:H73"/>
    <mergeCell ref="I72:N73"/>
    <mergeCell ref="O72:O73"/>
    <mergeCell ref="I62:N62"/>
    <mergeCell ref="I63:N63"/>
    <mergeCell ref="I66:N66"/>
    <mergeCell ref="I67:N67"/>
    <mergeCell ref="R67:T67"/>
    <mergeCell ref="V69:W69"/>
    <mergeCell ref="B60:B61"/>
    <mergeCell ref="I60:N60"/>
    <mergeCell ref="I61:N61"/>
    <mergeCell ref="B62:B63"/>
    <mergeCell ref="C62:C63"/>
    <mergeCell ref="D62:D63"/>
    <mergeCell ref="E62:E63"/>
    <mergeCell ref="F62:F63"/>
    <mergeCell ref="G62:G63"/>
    <mergeCell ref="H62:H63"/>
    <mergeCell ref="B56:B57"/>
    <mergeCell ref="I56:N56"/>
    <mergeCell ref="I57:N57"/>
    <mergeCell ref="B58:B59"/>
    <mergeCell ref="I58:N58"/>
    <mergeCell ref="I59:N59"/>
    <mergeCell ref="O52:O53"/>
    <mergeCell ref="B54:B55"/>
    <mergeCell ref="C54:C55"/>
    <mergeCell ref="D54:D55"/>
    <mergeCell ref="E54:E55"/>
    <mergeCell ref="F54:F55"/>
    <mergeCell ref="G54:G55"/>
    <mergeCell ref="H54:H55"/>
    <mergeCell ref="I54:N54"/>
    <mergeCell ref="I55:N55"/>
    <mergeCell ref="B52:B53"/>
    <mergeCell ref="C52:C53"/>
    <mergeCell ref="D52:D53"/>
    <mergeCell ref="E52:G52"/>
    <mergeCell ref="H52:H53"/>
    <mergeCell ref="I52:N53"/>
    <mergeCell ref="I46:N46"/>
    <mergeCell ref="AP46:AR46"/>
    <mergeCell ref="AS46:AU46"/>
    <mergeCell ref="V49:W49"/>
    <mergeCell ref="I51:J51"/>
    <mergeCell ref="N51:O51"/>
    <mergeCell ref="I38:N38"/>
    <mergeCell ref="B39:B40"/>
    <mergeCell ref="C39:C40"/>
    <mergeCell ref="D39:D40"/>
    <mergeCell ref="E39:E40"/>
    <mergeCell ref="F39:F40"/>
    <mergeCell ref="G39:G40"/>
    <mergeCell ref="H39:H40"/>
    <mergeCell ref="I39:N39"/>
    <mergeCell ref="I40:N40"/>
    <mergeCell ref="B37:B38"/>
    <mergeCell ref="C37:C38"/>
    <mergeCell ref="D37:D38"/>
    <mergeCell ref="E37:E38"/>
    <mergeCell ref="F37:F38"/>
    <mergeCell ref="G37:G38"/>
    <mergeCell ref="H37:H38"/>
    <mergeCell ref="I37:N37"/>
    <mergeCell ref="I45:N45"/>
    <mergeCell ref="B35:B36"/>
    <mergeCell ref="C35:C36"/>
    <mergeCell ref="D35:D36"/>
    <mergeCell ref="E35:E36"/>
    <mergeCell ref="F35:F36"/>
    <mergeCell ref="G35:G36"/>
    <mergeCell ref="H35:H36"/>
    <mergeCell ref="I35:N35"/>
    <mergeCell ref="I36:N36"/>
    <mergeCell ref="AV31:AY32"/>
    <mergeCell ref="I32:N32"/>
    <mergeCell ref="T32:U32"/>
    <mergeCell ref="B33:B34"/>
    <mergeCell ref="C33:C34"/>
    <mergeCell ref="D33:D34"/>
    <mergeCell ref="E33:E34"/>
    <mergeCell ref="F33:F34"/>
    <mergeCell ref="G33:G34"/>
    <mergeCell ref="H33:H34"/>
    <mergeCell ref="I33:N33"/>
    <mergeCell ref="I34:N34"/>
    <mergeCell ref="T34:U34"/>
    <mergeCell ref="O29:O30"/>
    <mergeCell ref="B31:B32"/>
    <mergeCell ref="C31:C32"/>
    <mergeCell ref="D31:D32"/>
    <mergeCell ref="E31:E32"/>
    <mergeCell ref="F31:F32"/>
    <mergeCell ref="G31:G32"/>
    <mergeCell ref="H31:H32"/>
    <mergeCell ref="I31:N31"/>
    <mergeCell ref="B29:B30"/>
    <mergeCell ref="C29:C30"/>
    <mergeCell ref="D29:D30"/>
    <mergeCell ref="E29:G29"/>
    <mergeCell ref="H29:H30"/>
    <mergeCell ref="I29:N30"/>
    <mergeCell ref="AI22:AM22"/>
    <mergeCell ref="AN22:AQ22"/>
    <mergeCell ref="I23:N23"/>
    <mergeCell ref="AI23:AL23"/>
    <mergeCell ref="AI24:AL24"/>
    <mergeCell ref="I28:J28"/>
    <mergeCell ref="N28:O28"/>
    <mergeCell ref="H16:H17"/>
    <mergeCell ref="I16:N16"/>
    <mergeCell ref="I17:N17"/>
    <mergeCell ref="I22:N22"/>
    <mergeCell ref="AA22:AD22"/>
    <mergeCell ref="AE22:AH22"/>
    <mergeCell ref="B12:B13"/>
    <mergeCell ref="C12:C13"/>
    <mergeCell ref="D12:D13"/>
    <mergeCell ref="E12:E13"/>
    <mergeCell ref="F12:F13"/>
    <mergeCell ref="G12:G13"/>
    <mergeCell ref="H12:H13"/>
    <mergeCell ref="I12:N12"/>
    <mergeCell ref="B16:B17"/>
    <mergeCell ref="C16:C17"/>
    <mergeCell ref="D16:D17"/>
    <mergeCell ref="E16:E17"/>
    <mergeCell ref="F16:F17"/>
    <mergeCell ref="G16:G17"/>
    <mergeCell ref="I13:N13"/>
    <mergeCell ref="B14:B15"/>
    <mergeCell ref="C14:C15"/>
    <mergeCell ref="D14:D15"/>
    <mergeCell ref="E14:E15"/>
    <mergeCell ref="F14:F15"/>
    <mergeCell ref="G14:G15"/>
    <mergeCell ref="H14:H15"/>
    <mergeCell ref="I14:N14"/>
    <mergeCell ref="I15:N15"/>
    <mergeCell ref="H8:H9"/>
    <mergeCell ref="I8:N8"/>
    <mergeCell ref="I9:N9"/>
    <mergeCell ref="B10:B11"/>
    <mergeCell ref="C10:C11"/>
    <mergeCell ref="D10:D11"/>
    <mergeCell ref="E10:E11"/>
    <mergeCell ref="F10:F11"/>
    <mergeCell ref="G10:G11"/>
    <mergeCell ref="H10:H11"/>
    <mergeCell ref="B8:B9"/>
    <mergeCell ref="C8:C9"/>
    <mergeCell ref="D8:D9"/>
    <mergeCell ref="E8:E9"/>
    <mergeCell ref="F8:F9"/>
    <mergeCell ref="G8:G9"/>
    <mergeCell ref="I10:N10"/>
    <mergeCell ref="I11:N11"/>
    <mergeCell ref="V3:W3"/>
    <mergeCell ref="I5:J5"/>
    <mergeCell ref="N5:O5"/>
    <mergeCell ref="B6:B7"/>
    <mergeCell ref="C6:C7"/>
    <mergeCell ref="D6:D7"/>
    <mergeCell ref="E6:G6"/>
    <mergeCell ref="H6:H7"/>
    <mergeCell ref="I6:N7"/>
    <mergeCell ref="O6:O7"/>
  </mergeCells>
  <conditionalFormatting sqref="P32:T32 P34:T34 P35:AT44 P31:AT31 P33:AT33">
    <cfRule type="cellIs" dxfId="27" priority="17" operator="greaterThan">
      <formula>0</formula>
    </cfRule>
  </conditionalFormatting>
  <conditionalFormatting sqref="P32:T32">
    <cfRule type="cellIs" dxfId="26" priority="16" operator="greaterThan">
      <formula>0</formula>
    </cfRule>
  </conditionalFormatting>
  <conditionalFormatting sqref="P34:T34">
    <cfRule type="cellIs" dxfId="25" priority="15" operator="greaterThan">
      <formula>0</formula>
    </cfRule>
  </conditionalFormatting>
  <conditionalFormatting sqref="P8:AQ13 P16:AQ21 V32:AT32 V34:AT34 P54:AS65">
    <cfRule type="cellIs" dxfId="24" priority="19" operator="greaterThan">
      <formula>0</formula>
    </cfRule>
  </conditionalFormatting>
  <conditionalFormatting sqref="P9:AQ9 P11:AQ11 P13:AQ13 P17:AQ17 V32:AT32 V34:AT34 P55:AS55 P57:AS57 P59:AS59 P61:AS61 P63:AS63">
    <cfRule type="cellIs" dxfId="23" priority="18" operator="greaterThan">
      <formula>0</formula>
    </cfRule>
  </conditionalFormatting>
  <conditionalFormatting sqref="P14:AQ15">
    <cfRule type="cellIs" dxfId="22" priority="9" operator="greaterThan">
      <formula>0</formula>
    </cfRule>
  </conditionalFormatting>
  <conditionalFormatting sqref="P15:AQ15">
    <cfRule type="cellIs" dxfId="21" priority="8" operator="greaterThan">
      <formula>0</formula>
    </cfRule>
  </conditionalFormatting>
  <conditionalFormatting sqref="P36:AT36">
    <cfRule type="cellIs" dxfId="20" priority="3" operator="greaterThan">
      <formula>0</formula>
    </cfRule>
  </conditionalFormatting>
  <conditionalFormatting sqref="P38:AT38">
    <cfRule type="cellIs" dxfId="19" priority="13" operator="greaterThan">
      <formula>0</formula>
    </cfRule>
  </conditionalFormatting>
  <conditionalFormatting sqref="P40:AT40">
    <cfRule type="cellIs" dxfId="18" priority="5" operator="greaterThan">
      <formula>0</formula>
    </cfRule>
  </conditionalFormatting>
  <conditionalFormatting sqref="P74:AT75 P78:AT87">
    <cfRule type="cellIs" dxfId="17" priority="7" operator="greaterThan">
      <formula>0</formula>
    </cfRule>
  </conditionalFormatting>
  <conditionalFormatting sqref="P75:AT75 P79:AT79 P81:AT81 P83:AT83">
    <cfRule type="cellIs" dxfId="16" priority="6" operator="greaterThan">
      <formula>0</formula>
    </cfRule>
  </conditionalFormatting>
  <conditionalFormatting sqref="P76:AT77">
    <cfRule type="cellIs" dxfId="15" priority="2" operator="greaterThan">
      <formula>0</formula>
    </cfRule>
  </conditionalFormatting>
  <conditionalFormatting sqref="P77:AT77">
    <cfRule type="cellIs" dxfId="14" priority="1" operator="greaterThan">
      <formula>0</formula>
    </cfRule>
  </conditionalFormatting>
  <pageMargins left="0" right="0" top="0" bottom="0" header="0.31496062992125984" footer="0.31496062992125984"/>
  <pageSetup scale="45" orientation="landscape" horizontalDpi="360" verticalDpi="36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AM55"/>
  <sheetViews>
    <sheetView topLeftCell="B40" zoomScale="70" zoomScaleNormal="70" workbookViewId="0">
      <selection activeCell="Q60" sqref="Q60"/>
    </sheetView>
  </sheetViews>
  <sheetFormatPr defaultColWidth="6.08203125" defaultRowHeight="15"/>
  <cols>
    <col min="1" max="1" width="1.25" style="127" customWidth="1"/>
    <col min="2" max="2" width="0.83203125" style="127" customWidth="1"/>
    <col min="3" max="3" width="1.1640625" style="127" customWidth="1"/>
    <col min="4" max="5" width="2.08203125" style="127" customWidth="1"/>
    <col min="6" max="6" width="8.4140625" style="127" customWidth="1"/>
    <col min="7" max="7" width="1.5" style="127" customWidth="1"/>
    <col min="8" max="8" width="12.5" style="127" customWidth="1"/>
    <col min="9" max="10" width="7.75" style="127" customWidth="1"/>
    <col min="11" max="11" width="5.33203125" style="127" customWidth="1"/>
    <col min="12" max="12" width="6.08203125" style="127"/>
    <col min="13" max="13" width="9.6640625" style="127" customWidth="1"/>
    <col min="14" max="14" width="1.33203125" style="127" customWidth="1"/>
    <col min="15" max="15" width="11.08203125" style="127" customWidth="1"/>
    <col min="16" max="16" width="1.5" style="127" customWidth="1"/>
    <col min="17" max="17" width="14" style="127" customWidth="1"/>
    <col min="18" max="18" width="1.4140625" style="127" customWidth="1"/>
    <col min="19" max="19" width="9.33203125" style="127" customWidth="1"/>
    <col min="20" max="20" width="15.5" style="127" customWidth="1"/>
    <col min="21" max="21" width="6.08203125" style="127"/>
    <col min="22" max="22" width="9.6640625" style="127" customWidth="1"/>
    <col min="23" max="23" width="1.75" style="127" customWidth="1"/>
    <col min="24" max="24" width="11.1640625" style="127" customWidth="1"/>
    <col min="25" max="25" width="3.5" style="127" customWidth="1"/>
    <col min="26" max="26" width="12.4140625" style="127" customWidth="1"/>
    <col min="27" max="27" width="2.5" style="127" customWidth="1"/>
    <col min="28" max="28" width="9.9140625" style="127" customWidth="1"/>
    <col min="29" max="29" width="7.6640625" style="127" customWidth="1"/>
    <col min="30" max="31" width="6.08203125" style="127"/>
    <col min="32" max="32" width="13.9140625" style="127" customWidth="1"/>
    <col min="33" max="33" width="19.08203125" style="127" customWidth="1"/>
    <col min="34" max="16384" width="6.08203125" style="127"/>
  </cols>
  <sheetData>
    <row r="1" spans="4:39" ht="3.95" customHeight="1"/>
    <row r="2" spans="4:39" ht="19.5" customHeight="1">
      <c r="D2" s="126"/>
      <c r="E2" s="126"/>
      <c r="F2" s="126"/>
      <c r="G2" s="128" t="s">
        <v>111</v>
      </c>
      <c r="H2" s="129"/>
      <c r="I2" s="130"/>
      <c r="K2" s="131"/>
      <c r="L2" s="132"/>
      <c r="AA2" s="128" t="s">
        <v>266</v>
      </c>
      <c r="AB2" s="129"/>
      <c r="AE2" s="126"/>
      <c r="AF2" s="126"/>
      <c r="AI2" s="130"/>
      <c r="AK2" s="131"/>
      <c r="AL2" s="132"/>
    </row>
    <row r="3" spans="4:39" ht="19.5" customHeight="1">
      <c r="D3" s="126"/>
      <c r="E3" s="126"/>
      <c r="F3" s="126"/>
      <c r="G3" s="921" t="s">
        <v>112</v>
      </c>
      <c r="H3" s="921"/>
      <c r="I3" s="922" t="s">
        <v>113</v>
      </c>
      <c r="J3" s="922"/>
      <c r="K3" s="133"/>
      <c r="M3" s="134"/>
      <c r="U3" s="929" t="s">
        <v>114</v>
      </c>
      <c r="V3" s="929"/>
      <c r="W3" s="135"/>
      <c r="AA3" s="921" t="s">
        <v>118</v>
      </c>
      <c r="AB3" s="921"/>
      <c r="AC3" s="922" t="s">
        <v>267</v>
      </c>
      <c r="AD3" s="922"/>
      <c r="AK3" s="133"/>
      <c r="AM3" s="134"/>
    </row>
    <row r="4" spans="4:39" ht="3.95" customHeight="1" thickBot="1"/>
    <row r="5" spans="4:39" s="155" customFormat="1" ht="24" customHeight="1">
      <c r="D5" s="992" t="s">
        <v>161</v>
      </c>
      <c r="E5" s="993"/>
      <c r="F5" s="994"/>
      <c r="G5" s="938" t="s">
        <v>118</v>
      </c>
      <c r="H5" s="939"/>
      <c r="I5" s="939"/>
      <c r="J5" s="940"/>
      <c r="K5" s="941"/>
      <c r="L5" s="942" t="s">
        <v>66</v>
      </c>
      <c r="M5" s="936" t="s">
        <v>124</v>
      </c>
      <c r="O5" s="1001" t="s">
        <v>162</v>
      </c>
      <c r="P5" s="944" t="s">
        <v>118</v>
      </c>
      <c r="Q5" s="945"/>
      <c r="R5" s="945"/>
      <c r="S5" s="945"/>
      <c r="T5" s="946"/>
      <c r="U5" s="942" t="s">
        <v>66</v>
      </c>
      <c r="V5" s="936" t="s">
        <v>124</v>
      </c>
      <c r="W5" s="156"/>
      <c r="Y5" s="908" t="s">
        <v>115</v>
      </c>
      <c r="Z5" s="923" t="s">
        <v>271</v>
      </c>
      <c r="AA5" s="926" t="s">
        <v>190</v>
      </c>
      <c r="AB5" s="927"/>
      <c r="AC5" s="927"/>
      <c r="AD5" s="928"/>
      <c r="AE5" s="910" t="s">
        <v>270</v>
      </c>
      <c r="AF5" s="912" t="s">
        <v>191</v>
      </c>
      <c r="AG5" s="913"/>
    </row>
    <row r="6" spans="4:39" s="157" customFormat="1" ht="24" customHeight="1" thickBot="1">
      <c r="D6" s="995"/>
      <c r="E6" s="996"/>
      <c r="F6" s="997"/>
      <c r="G6" s="930" t="s">
        <v>125</v>
      </c>
      <c r="H6" s="931"/>
      <c r="I6" s="931" t="s">
        <v>126</v>
      </c>
      <c r="J6" s="932"/>
      <c r="K6" s="933"/>
      <c r="L6" s="943"/>
      <c r="M6" s="937"/>
      <c r="O6" s="1002"/>
      <c r="P6" s="947" t="s">
        <v>125</v>
      </c>
      <c r="Q6" s="948"/>
      <c r="R6" s="949"/>
      <c r="S6" s="934" t="s">
        <v>126</v>
      </c>
      <c r="T6" s="935"/>
      <c r="U6" s="943"/>
      <c r="V6" s="937"/>
      <c r="W6" s="156"/>
      <c r="Y6" s="909"/>
      <c r="Z6" s="911"/>
      <c r="AA6" s="924" t="s">
        <v>268</v>
      </c>
      <c r="AB6" s="925"/>
      <c r="AC6" s="530" t="s">
        <v>269</v>
      </c>
      <c r="AD6" s="565" t="s">
        <v>66</v>
      </c>
      <c r="AE6" s="911"/>
      <c r="AF6" s="564" t="s">
        <v>278</v>
      </c>
      <c r="AG6" s="531" t="s">
        <v>271</v>
      </c>
    </row>
    <row r="7" spans="4:39" s="126" customFormat="1" ht="6" customHeight="1" thickBot="1">
      <c r="D7" s="995"/>
      <c r="E7" s="996"/>
      <c r="F7" s="997"/>
      <c r="G7" s="136"/>
      <c r="L7" s="137"/>
      <c r="M7" s="138"/>
      <c r="O7" s="1002"/>
      <c r="P7" s="136"/>
      <c r="U7" s="137"/>
      <c r="V7" s="138"/>
      <c r="Y7" s="563"/>
      <c r="Z7" s="563"/>
      <c r="AA7" s="563"/>
      <c r="AB7" s="563"/>
      <c r="AC7" s="563"/>
      <c r="AD7" s="563"/>
      <c r="AE7" s="563"/>
      <c r="AF7" s="563"/>
      <c r="AG7" s="563"/>
    </row>
    <row r="8" spans="4:39" ht="21.95" customHeight="1">
      <c r="D8" s="995"/>
      <c r="E8" s="996"/>
      <c r="F8" s="997"/>
      <c r="G8" s="158" t="s">
        <v>128</v>
      </c>
      <c r="H8" s="159" t="s">
        <v>129</v>
      </c>
      <c r="I8" s="950" t="s">
        <v>130</v>
      </c>
      <c r="J8" s="954"/>
      <c r="K8" s="951"/>
      <c r="L8" s="160">
        <v>2</v>
      </c>
      <c r="M8" s="955">
        <f>SUM(L8:L19)</f>
        <v>25</v>
      </c>
      <c r="O8" s="1002"/>
      <c r="P8" s="139" t="s">
        <v>128</v>
      </c>
      <c r="Q8" s="159" t="s">
        <v>129</v>
      </c>
      <c r="R8" s="159"/>
      <c r="S8" s="950" t="s">
        <v>130</v>
      </c>
      <c r="T8" s="951"/>
      <c r="U8" s="160">
        <v>2</v>
      </c>
      <c r="V8" s="955">
        <f>SUM(U8:U19)</f>
        <v>25</v>
      </c>
      <c r="W8" s="140"/>
      <c r="Y8" s="556" t="s">
        <v>41</v>
      </c>
      <c r="Z8" s="557" t="s">
        <v>272</v>
      </c>
      <c r="AA8" s="558" t="s">
        <v>273</v>
      </c>
      <c r="AB8" s="525" t="s">
        <v>274</v>
      </c>
      <c r="AC8" s="525">
        <v>2</v>
      </c>
      <c r="AD8" s="559">
        <v>15</v>
      </c>
      <c r="AE8" s="560">
        <v>80</v>
      </c>
      <c r="AF8" s="561">
        <f>$U$43</f>
        <v>18660599</v>
      </c>
      <c r="AG8" s="562">
        <f>AD8*AF8</f>
        <v>279908985</v>
      </c>
    </row>
    <row r="9" spans="4:39" ht="21.95" customHeight="1">
      <c r="D9" s="995"/>
      <c r="E9" s="996"/>
      <c r="F9" s="997"/>
      <c r="G9" s="145"/>
      <c r="H9" s="150"/>
      <c r="I9" s="958" t="s">
        <v>131</v>
      </c>
      <c r="J9" s="959"/>
      <c r="K9" s="960"/>
      <c r="L9" s="161">
        <v>2</v>
      </c>
      <c r="M9" s="956"/>
      <c r="O9" s="1002"/>
      <c r="P9" s="141"/>
      <c r="Q9" s="173"/>
      <c r="R9" s="173"/>
      <c r="S9" s="958" t="s">
        <v>131</v>
      </c>
      <c r="T9" s="960"/>
      <c r="U9" s="161">
        <v>2</v>
      </c>
      <c r="V9" s="956"/>
      <c r="W9" s="142"/>
      <c r="Y9" s="542"/>
      <c r="Z9" s="551"/>
      <c r="AA9" s="553" t="s">
        <v>275</v>
      </c>
      <c r="AB9" s="540" t="s">
        <v>276</v>
      </c>
      <c r="AC9" s="540">
        <v>2</v>
      </c>
      <c r="AD9" s="554">
        <v>3</v>
      </c>
      <c r="AE9" s="551">
        <v>80</v>
      </c>
      <c r="AF9" s="547">
        <f>SUM($U$43,$U$47)</f>
        <v>19271203.399999999</v>
      </c>
      <c r="AG9" s="532">
        <f>AF9*AD9</f>
        <v>57813610.199999996</v>
      </c>
    </row>
    <row r="10" spans="4:39" ht="21.95" customHeight="1">
      <c r="D10" s="995"/>
      <c r="E10" s="996"/>
      <c r="F10" s="997"/>
      <c r="G10" s="145"/>
      <c r="H10" s="150"/>
      <c r="I10" s="958" t="s">
        <v>132</v>
      </c>
      <c r="J10" s="959"/>
      <c r="K10" s="960"/>
      <c r="L10" s="161">
        <v>1</v>
      </c>
      <c r="M10" s="956"/>
      <c r="O10" s="1002"/>
      <c r="P10" s="141"/>
      <c r="Q10" s="150"/>
      <c r="R10" s="150"/>
      <c r="S10" s="958" t="s">
        <v>132</v>
      </c>
      <c r="T10" s="960"/>
      <c r="U10" s="161">
        <v>1</v>
      </c>
      <c r="V10" s="956"/>
      <c r="W10" s="142"/>
      <c r="Y10" s="537"/>
      <c r="Z10" s="526"/>
      <c r="AA10" s="526"/>
      <c r="AB10" s="526"/>
      <c r="AC10" s="529" t="s">
        <v>279</v>
      </c>
      <c r="AD10" s="526">
        <f>SUM(AD8:AD9)</f>
        <v>18</v>
      </c>
      <c r="AE10" s="526"/>
      <c r="AF10" s="526"/>
      <c r="AG10" s="538">
        <f>SUM(AG8:AG9)</f>
        <v>337722595.19999999</v>
      </c>
    </row>
    <row r="11" spans="4:39" ht="21.95" customHeight="1">
      <c r="D11" s="995"/>
      <c r="E11" s="996"/>
      <c r="F11" s="997"/>
      <c r="G11" s="162"/>
      <c r="H11" s="163"/>
      <c r="I11" s="952" t="s">
        <v>133</v>
      </c>
      <c r="J11" s="961"/>
      <c r="K11" s="953"/>
      <c r="L11" s="164">
        <v>2</v>
      </c>
      <c r="M11" s="956"/>
      <c r="O11" s="1002"/>
      <c r="P11" s="143"/>
      <c r="Q11" s="163"/>
      <c r="R11" s="163"/>
      <c r="S11" s="952" t="s">
        <v>133</v>
      </c>
      <c r="T11" s="953"/>
      <c r="U11" s="164">
        <v>2</v>
      </c>
      <c r="V11" s="956"/>
      <c r="W11" s="142"/>
      <c r="Y11" s="543" t="s">
        <v>280</v>
      </c>
      <c r="Z11" s="550" t="s">
        <v>281</v>
      </c>
      <c r="AA11" s="527" t="s">
        <v>273</v>
      </c>
      <c r="AB11" s="528" t="s">
        <v>274</v>
      </c>
      <c r="AC11" s="528">
        <v>2</v>
      </c>
      <c r="AD11" s="552">
        <v>20</v>
      </c>
      <c r="AE11" s="555">
        <v>80</v>
      </c>
      <c r="AF11" s="548">
        <f>$U$43</f>
        <v>18660599</v>
      </c>
      <c r="AG11" s="539">
        <f>AD11*AF11</f>
        <v>373211980</v>
      </c>
    </row>
    <row r="12" spans="4:39" ht="21.95" customHeight="1">
      <c r="D12" s="995"/>
      <c r="E12" s="996"/>
      <c r="F12" s="997"/>
      <c r="G12" s="165" t="s">
        <v>128</v>
      </c>
      <c r="H12" s="150" t="s">
        <v>134</v>
      </c>
      <c r="I12" s="950" t="s">
        <v>135</v>
      </c>
      <c r="J12" s="954"/>
      <c r="K12" s="951"/>
      <c r="L12" s="160">
        <v>5</v>
      </c>
      <c r="M12" s="956"/>
      <c r="O12" s="1002"/>
      <c r="P12" s="144" t="s">
        <v>128</v>
      </c>
      <c r="Q12" s="150" t="s">
        <v>134</v>
      </c>
      <c r="R12" s="150"/>
      <c r="S12" s="950" t="s">
        <v>135</v>
      </c>
      <c r="T12" s="951"/>
      <c r="U12" s="160">
        <v>5</v>
      </c>
      <c r="V12" s="956"/>
      <c r="W12" s="142"/>
      <c r="Y12" s="542"/>
      <c r="Z12" s="551"/>
      <c r="AA12" s="553" t="s">
        <v>275</v>
      </c>
      <c r="AB12" s="540" t="s">
        <v>276</v>
      </c>
      <c r="AC12" s="540">
        <v>2</v>
      </c>
      <c r="AD12" s="554">
        <v>3</v>
      </c>
      <c r="AE12" s="551">
        <v>80</v>
      </c>
      <c r="AF12" s="547">
        <f>SUM($U$43,$U$47)</f>
        <v>19271203.399999999</v>
      </c>
      <c r="AG12" s="532">
        <f>AF12*AD12</f>
        <v>57813610.199999996</v>
      </c>
    </row>
    <row r="13" spans="4:39" ht="21.95" customHeight="1">
      <c r="D13" s="995"/>
      <c r="E13" s="996"/>
      <c r="F13" s="997"/>
      <c r="G13" s="145"/>
      <c r="H13" s="150"/>
      <c r="I13" s="952" t="s">
        <v>137</v>
      </c>
      <c r="J13" s="961"/>
      <c r="K13" s="953"/>
      <c r="L13" s="164">
        <v>6</v>
      </c>
      <c r="M13" s="956"/>
      <c r="O13" s="1002"/>
      <c r="P13" s="141"/>
      <c r="Q13" s="150"/>
      <c r="R13" s="150"/>
      <c r="S13" s="952" t="s">
        <v>137</v>
      </c>
      <c r="T13" s="953"/>
      <c r="U13" s="164">
        <v>6</v>
      </c>
      <c r="V13" s="956"/>
      <c r="W13" s="142"/>
      <c r="Y13" s="537"/>
      <c r="Z13" s="526"/>
      <c r="AA13" s="526"/>
      <c r="AB13" s="526"/>
      <c r="AC13" s="529" t="s">
        <v>279</v>
      </c>
      <c r="AD13" s="526">
        <f>SUM(AD11:AD12)</f>
        <v>23</v>
      </c>
      <c r="AE13" s="526"/>
      <c r="AF13" s="526"/>
      <c r="AG13" s="538">
        <f>SUM(AG11:AG12)</f>
        <v>431025590.19999999</v>
      </c>
    </row>
    <row r="14" spans="4:39" ht="21.95" customHeight="1">
      <c r="D14" s="995"/>
      <c r="E14" s="996"/>
      <c r="F14" s="997"/>
      <c r="G14" s="158" t="s">
        <v>128</v>
      </c>
      <c r="H14" s="159" t="s">
        <v>139</v>
      </c>
      <c r="I14" s="950" t="s">
        <v>140</v>
      </c>
      <c r="J14" s="954"/>
      <c r="K14" s="951"/>
      <c r="L14" s="160">
        <v>1</v>
      </c>
      <c r="M14" s="956"/>
      <c r="O14" s="1002"/>
      <c r="P14" s="139" t="s">
        <v>128</v>
      </c>
      <c r="Q14" s="159" t="s">
        <v>139</v>
      </c>
      <c r="R14" s="159"/>
      <c r="S14" s="950" t="s">
        <v>140</v>
      </c>
      <c r="T14" s="951"/>
      <c r="U14" s="160">
        <v>1</v>
      </c>
      <c r="V14" s="956"/>
      <c r="W14" s="142"/>
      <c r="Y14" s="543" t="s">
        <v>282</v>
      </c>
      <c r="Z14" s="550" t="s">
        <v>283</v>
      </c>
      <c r="AA14" s="527" t="s">
        <v>273</v>
      </c>
      <c r="AB14" s="528" t="s">
        <v>274</v>
      </c>
      <c r="AC14" s="528">
        <v>2</v>
      </c>
      <c r="AD14" s="544">
        <v>15</v>
      </c>
      <c r="AE14" s="555">
        <v>80</v>
      </c>
      <c r="AF14" s="548">
        <f>$U$43</f>
        <v>18660599</v>
      </c>
      <c r="AG14" s="539">
        <f>AD14*AF14</f>
        <v>279908985</v>
      </c>
    </row>
    <row r="15" spans="4:39" ht="21.95" customHeight="1">
      <c r="D15" s="995"/>
      <c r="E15" s="996"/>
      <c r="F15" s="997"/>
      <c r="G15" s="162"/>
      <c r="H15" s="163"/>
      <c r="I15" s="952" t="s">
        <v>141</v>
      </c>
      <c r="J15" s="961"/>
      <c r="K15" s="953"/>
      <c r="L15" s="164">
        <v>2</v>
      </c>
      <c r="M15" s="956"/>
      <c r="O15" s="1002"/>
      <c r="P15" s="143"/>
      <c r="Q15" s="163"/>
      <c r="R15" s="163"/>
      <c r="S15" s="952" t="s">
        <v>141</v>
      </c>
      <c r="T15" s="953"/>
      <c r="U15" s="164">
        <v>2</v>
      </c>
      <c r="V15" s="956"/>
      <c r="W15" s="142"/>
      <c r="Y15" s="545"/>
      <c r="Z15" s="551"/>
      <c r="AA15" s="553" t="s">
        <v>275</v>
      </c>
      <c r="AB15" s="540" t="s">
        <v>276</v>
      </c>
      <c r="AC15" s="540">
        <v>2</v>
      </c>
      <c r="AD15" s="546">
        <v>3</v>
      </c>
      <c r="AE15" s="551">
        <v>80</v>
      </c>
      <c r="AF15" s="549">
        <f>SUM($U$43,$U$47)</f>
        <v>19271203.399999999</v>
      </c>
      <c r="AG15" s="541">
        <f>AF15*AD15</f>
        <v>57813610.199999996</v>
      </c>
    </row>
    <row r="16" spans="4:39" ht="21.95" customHeight="1" thickBot="1">
      <c r="D16" s="995"/>
      <c r="E16" s="996"/>
      <c r="F16" s="997"/>
      <c r="G16" s="165" t="s">
        <v>128</v>
      </c>
      <c r="H16" s="150" t="s">
        <v>142</v>
      </c>
      <c r="I16" s="950" t="s">
        <v>143</v>
      </c>
      <c r="J16" s="954"/>
      <c r="K16" s="951"/>
      <c r="L16" s="966">
        <v>2</v>
      </c>
      <c r="M16" s="956"/>
      <c r="O16" s="1002"/>
      <c r="P16" s="144" t="s">
        <v>128</v>
      </c>
      <c r="Q16" s="150" t="s">
        <v>142</v>
      </c>
      <c r="R16" s="150"/>
      <c r="S16" s="950" t="s">
        <v>143</v>
      </c>
      <c r="T16" s="951"/>
      <c r="U16" s="966">
        <v>2</v>
      </c>
      <c r="V16" s="956"/>
      <c r="W16" s="142"/>
      <c r="Y16" s="533"/>
      <c r="Z16" s="534"/>
      <c r="AA16" s="534"/>
      <c r="AB16" s="534"/>
      <c r="AC16" s="535" t="s">
        <v>279</v>
      </c>
      <c r="AD16" s="534">
        <f>SUM(AD14:AD15)</f>
        <v>18</v>
      </c>
      <c r="AE16" s="534"/>
      <c r="AF16" s="534"/>
      <c r="AG16" s="536">
        <f>SUM(AG14:AG15)</f>
        <v>337722595.19999999</v>
      </c>
    </row>
    <row r="17" spans="4:33" ht="21.95" customHeight="1" thickBot="1">
      <c r="D17" s="995"/>
      <c r="E17" s="996"/>
      <c r="F17" s="997"/>
      <c r="G17" s="145"/>
      <c r="H17" s="166"/>
      <c r="I17" s="952" t="s">
        <v>144</v>
      </c>
      <c r="J17" s="961"/>
      <c r="K17" s="953"/>
      <c r="L17" s="967"/>
      <c r="M17" s="956"/>
      <c r="O17" s="1002"/>
      <c r="P17" s="141"/>
      <c r="Q17" s="166"/>
      <c r="R17" s="166"/>
      <c r="S17" s="952" t="s">
        <v>144</v>
      </c>
      <c r="T17" s="953"/>
      <c r="U17" s="967"/>
      <c r="V17" s="956"/>
      <c r="W17" s="142"/>
      <c r="Y17" s="566"/>
      <c r="Z17" s="567"/>
      <c r="AA17" s="567"/>
      <c r="AB17" s="567"/>
      <c r="AC17" s="568" t="s">
        <v>284</v>
      </c>
      <c r="AD17" s="573">
        <f>SUM(AD10,AD13,AD16)</f>
        <v>59</v>
      </c>
      <c r="AE17" s="567"/>
      <c r="AF17" s="567"/>
      <c r="AG17" s="569">
        <f>SUM(AG10,AG13,AG16)</f>
        <v>1106470780.5999999</v>
      </c>
    </row>
    <row r="18" spans="4:33" ht="21.95" customHeight="1">
      <c r="D18" s="995"/>
      <c r="E18" s="996"/>
      <c r="F18" s="997"/>
      <c r="G18" s="167" t="s">
        <v>128</v>
      </c>
      <c r="H18" s="168" t="s">
        <v>145</v>
      </c>
      <c r="I18" s="983" t="s">
        <v>146</v>
      </c>
      <c r="J18" s="1016"/>
      <c r="K18" s="984"/>
      <c r="L18" s="169">
        <v>2</v>
      </c>
      <c r="M18" s="956"/>
      <c r="O18" s="1002"/>
      <c r="P18" s="146" t="s">
        <v>128</v>
      </c>
      <c r="Q18" s="168" t="s">
        <v>145</v>
      </c>
      <c r="R18" s="168"/>
      <c r="S18" s="983" t="s">
        <v>146</v>
      </c>
      <c r="T18" s="984"/>
      <c r="U18" s="169">
        <v>2</v>
      </c>
      <c r="V18" s="956"/>
      <c r="W18" s="142"/>
    </row>
    <row r="19" spans="4:33" ht="21.95" customHeight="1" thickBot="1">
      <c r="D19" s="998"/>
      <c r="E19" s="999"/>
      <c r="F19" s="1000"/>
      <c r="G19" s="170"/>
      <c r="H19" s="978" t="s">
        <v>155</v>
      </c>
      <c r="I19" s="978"/>
      <c r="J19" s="171"/>
      <c r="K19" s="171"/>
      <c r="L19" s="172"/>
      <c r="M19" s="957"/>
      <c r="O19" s="1003"/>
      <c r="P19" s="148"/>
      <c r="Q19" s="978" t="s">
        <v>155</v>
      </c>
      <c r="R19" s="978"/>
      <c r="S19" s="978"/>
      <c r="T19" s="171"/>
      <c r="U19" s="172"/>
      <c r="V19" s="957"/>
      <c r="W19" s="142"/>
    </row>
    <row r="20" spans="4:33" ht="8.1" customHeight="1" thickBot="1">
      <c r="Y20" s="126"/>
      <c r="Z20" s="126"/>
      <c r="AA20" s="126"/>
      <c r="AB20" s="126"/>
      <c r="AC20" s="126"/>
      <c r="AD20" s="126"/>
      <c r="AE20" s="126"/>
      <c r="AF20" s="126"/>
      <c r="AG20" s="126"/>
    </row>
    <row r="21" spans="4:33" ht="24" customHeight="1">
      <c r="D21" s="1004" t="s">
        <v>163</v>
      </c>
      <c r="E21" s="1005"/>
      <c r="F21" s="1006"/>
      <c r="G21" s="1017" t="s">
        <v>118</v>
      </c>
      <c r="H21" s="1018"/>
      <c r="I21" s="1018"/>
      <c r="J21" s="1019"/>
      <c r="K21" s="1020"/>
      <c r="L21" s="968" t="s">
        <v>66</v>
      </c>
      <c r="M21" s="970" t="s">
        <v>124</v>
      </c>
      <c r="O21" s="1001" t="s">
        <v>164</v>
      </c>
      <c r="P21" s="944" t="s">
        <v>118</v>
      </c>
      <c r="Q21" s="945"/>
      <c r="R21" s="945"/>
      <c r="S21" s="945"/>
      <c r="T21" s="946"/>
      <c r="U21" s="942" t="s">
        <v>66</v>
      </c>
      <c r="V21" s="936" t="s">
        <v>124</v>
      </c>
      <c r="Y21" s="908" t="s">
        <v>115</v>
      </c>
      <c r="Z21" s="902" t="s">
        <v>190</v>
      </c>
      <c r="AA21" s="903"/>
      <c r="AB21" s="903"/>
      <c r="AC21" s="903"/>
      <c r="AD21" s="904"/>
      <c r="AE21" s="910" t="s">
        <v>270</v>
      </c>
      <c r="AF21" s="912" t="s">
        <v>191</v>
      </c>
      <c r="AG21" s="913"/>
    </row>
    <row r="22" spans="4:33" s="126" customFormat="1" ht="24" customHeight="1" thickBot="1">
      <c r="D22" s="1007"/>
      <c r="E22" s="1008"/>
      <c r="F22" s="1009"/>
      <c r="G22" s="1021" t="s">
        <v>125</v>
      </c>
      <c r="H22" s="989"/>
      <c r="I22" s="989" t="s">
        <v>126</v>
      </c>
      <c r="J22" s="990"/>
      <c r="K22" s="991"/>
      <c r="L22" s="969"/>
      <c r="M22" s="971"/>
      <c r="O22" s="1002"/>
      <c r="P22" s="947" t="s">
        <v>125</v>
      </c>
      <c r="Q22" s="948"/>
      <c r="R22" s="949"/>
      <c r="S22" s="934" t="s">
        <v>126</v>
      </c>
      <c r="T22" s="935"/>
      <c r="U22" s="943"/>
      <c r="V22" s="937"/>
      <c r="Y22" s="909"/>
      <c r="Z22" s="905" t="s">
        <v>268</v>
      </c>
      <c r="AA22" s="906"/>
      <c r="AB22" s="907"/>
      <c r="AC22" s="530" t="s">
        <v>269</v>
      </c>
      <c r="AD22" s="565" t="s">
        <v>66</v>
      </c>
      <c r="AE22" s="911"/>
      <c r="AF22" s="564" t="s">
        <v>278</v>
      </c>
      <c r="AG22" s="531" t="s">
        <v>271</v>
      </c>
    </row>
    <row r="23" spans="4:33" s="126" customFormat="1" ht="6" customHeight="1" thickBot="1">
      <c r="D23" s="1007"/>
      <c r="E23" s="1008"/>
      <c r="F23" s="1009"/>
      <c r="G23" s="154"/>
      <c r="H23" s="151"/>
      <c r="I23" s="151"/>
      <c r="J23" s="151"/>
      <c r="K23" s="151"/>
      <c r="L23" s="152"/>
      <c r="M23" s="153"/>
      <c r="O23" s="1002"/>
      <c r="P23" s="136"/>
      <c r="U23" s="137"/>
      <c r="V23" s="138"/>
      <c r="Y23" s="563"/>
      <c r="Z23" s="563"/>
      <c r="AA23" s="563"/>
      <c r="AB23" s="563"/>
      <c r="AC23" s="563"/>
      <c r="AD23" s="563"/>
      <c r="AE23" s="563"/>
      <c r="AF23" s="563"/>
      <c r="AG23" s="563"/>
    </row>
    <row r="24" spans="4:33" s="174" customFormat="1" ht="21.95" customHeight="1">
      <c r="D24" s="1007"/>
      <c r="E24" s="1008"/>
      <c r="F24" s="1009"/>
      <c r="G24" s="167" t="s">
        <v>128</v>
      </c>
      <c r="H24" s="168" t="s">
        <v>145</v>
      </c>
      <c r="I24" s="979" t="s">
        <v>147</v>
      </c>
      <c r="J24" s="985"/>
      <c r="K24" s="980"/>
      <c r="L24" s="175">
        <v>2</v>
      </c>
      <c r="M24" s="955">
        <f>SUM(L24:L30)</f>
        <v>16</v>
      </c>
      <c r="O24" s="1002"/>
      <c r="P24" s="139" t="s">
        <v>128</v>
      </c>
      <c r="Q24" s="159" t="s">
        <v>105</v>
      </c>
      <c r="R24" s="159"/>
      <c r="S24" s="962" t="s">
        <v>165</v>
      </c>
      <c r="T24" s="963"/>
      <c r="U24" s="183">
        <v>4</v>
      </c>
      <c r="V24" s="955">
        <f>SUM(U24:U35)</f>
        <v>14</v>
      </c>
      <c r="Y24" s="556" t="s">
        <v>41</v>
      </c>
      <c r="Z24" s="896" t="s">
        <v>285</v>
      </c>
      <c r="AA24" s="897"/>
      <c r="AB24" s="898"/>
      <c r="AC24" s="525">
        <v>2</v>
      </c>
      <c r="AD24" s="559">
        <v>1</v>
      </c>
      <c r="AE24" s="560">
        <v>80</v>
      </c>
      <c r="AF24" s="577">
        <f>$U$43/16000</f>
        <v>1166.2874374999999</v>
      </c>
      <c r="AG24" s="578">
        <f>AD24*AF24</f>
        <v>1166.2874374999999</v>
      </c>
    </row>
    <row r="25" spans="4:33" s="174" customFormat="1" ht="21.95" customHeight="1" thickBot="1">
      <c r="D25" s="1007"/>
      <c r="E25" s="1008"/>
      <c r="F25" s="1009"/>
      <c r="G25" s="176" t="s">
        <v>128</v>
      </c>
      <c r="H25" s="150" t="s">
        <v>139</v>
      </c>
      <c r="I25" s="986" t="s">
        <v>148</v>
      </c>
      <c r="J25" s="987"/>
      <c r="K25" s="988"/>
      <c r="L25" s="180">
        <v>1</v>
      </c>
      <c r="M25" s="964"/>
      <c r="O25" s="1002"/>
      <c r="P25" s="144"/>
      <c r="Q25" s="150"/>
      <c r="R25" s="150"/>
      <c r="S25" s="972" t="s">
        <v>176</v>
      </c>
      <c r="T25" s="973"/>
      <c r="U25" s="189">
        <v>1</v>
      </c>
      <c r="V25" s="964"/>
      <c r="Y25" s="570" t="s">
        <v>42</v>
      </c>
      <c r="Z25" s="899" t="s">
        <v>276</v>
      </c>
      <c r="AA25" s="900"/>
      <c r="AB25" s="901"/>
      <c r="AC25" s="540">
        <v>2</v>
      </c>
      <c r="AD25" s="554">
        <v>1</v>
      </c>
      <c r="AE25" s="551">
        <v>80</v>
      </c>
      <c r="AF25" s="579">
        <f>SUM($U$43,$U$47)/16000</f>
        <v>1204.4502124999999</v>
      </c>
      <c r="AG25" s="580">
        <f>AF25*AD25</f>
        <v>1204.4502124999999</v>
      </c>
    </row>
    <row r="26" spans="4:33" s="174" customFormat="1" ht="21.95" customHeight="1" thickBot="1">
      <c r="D26" s="1007"/>
      <c r="E26" s="1008"/>
      <c r="F26" s="1009"/>
      <c r="G26" s="177"/>
      <c r="H26" s="150"/>
      <c r="I26" s="952" t="s">
        <v>140</v>
      </c>
      <c r="J26" s="961"/>
      <c r="K26" s="953"/>
      <c r="L26" s="164">
        <v>1</v>
      </c>
      <c r="M26" s="964"/>
      <c r="O26" s="1002"/>
      <c r="P26" s="143"/>
      <c r="Q26" s="191"/>
      <c r="R26" s="191"/>
      <c r="S26" s="976" t="s">
        <v>167</v>
      </c>
      <c r="T26" s="977"/>
      <c r="U26" s="184">
        <v>1</v>
      </c>
      <c r="V26" s="964"/>
      <c r="Y26" s="566"/>
      <c r="Z26" s="567"/>
      <c r="AA26" s="567"/>
      <c r="AB26" s="567"/>
      <c r="AC26" s="568" t="s">
        <v>284</v>
      </c>
      <c r="AD26" s="573">
        <f>SUM(AD24:AD25)</f>
        <v>2</v>
      </c>
      <c r="AE26" s="567"/>
      <c r="AF26" s="581"/>
      <c r="AG26" s="582">
        <f>SUM(AG24:AG25)</f>
        <v>2370.73765</v>
      </c>
    </row>
    <row r="27" spans="4:33" s="174" customFormat="1" ht="22.5" customHeight="1">
      <c r="D27" s="1007"/>
      <c r="E27" s="1008"/>
      <c r="F27" s="1009"/>
      <c r="G27" s="178" t="s">
        <v>128</v>
      </c>
      <c r="H27" s="168" t="s">
        <v>149</v>
      </c>
      <c r="I27" s="983" t="s">
        <v>150</v>
      </c>
      <c r="J27" s="1016"/>
      <c r="K27" s="984"/>
      <c r="L27" s="169">
        <v>2</v>
      </c>
      <c r="M27" s="964"/>
      <c r="O27" s="1002"/>
      <c r="P27" s="144" t="s">
        <v>128</v>
      </c>
      <c r="Q27" s="150" t="s">
        <v>157</v>
      </c>
      <c r="R27" s="150"/>
      <c r="S27" s="974" t="s">
        <v>168</v>
      </c>
      <c r="T27" s="975"/>
      <c r="U27" s="190">
        <v>1</v>
      </c>
      <c r="V27" s="964"/>
      <c r="AG27" s="571">
        <f>AG26/16000</f>
        <v>0.14817110312500001</v>
      </c>
    </row>
    <row r="28" spans="4:33" s="174" customFormat="1" ht="36" customHeight="1">
      <c r="D28" s="1007"/>
      <c r="E28" s="1008"/>
      <c r="F28" s="1009"/>
      <c r="G28" s="181" t="s">
        <v>128</v>
      </c>
      <c r="H28" s="163" t="s">
        <v>151</v>
      </c>
      <c r="I28" s="1013" t="s">
        <v>152</v>
      </c>
      <c r="J28" s="1014"/>
      <c r="K28" s="1015"/>
      <c r="L28" s="175">
        <v>8</v>
      </c>
      <c r="M28" s="964"/>
      <c r="O28" s="1002"/>
      <c r="P28" s="141"/>
      <c r="Q28" s="150"/>
      <c r="R28" s="150"/>
      <c r="S28" s="972" t="s">
        <v>169</v>
      </c>
      <c r="T28" s="973"/>
      <c r="U28" s="193">
        <v>1</v>
      </c>
      <c r="V28" s="964"/>
      <c r="Y28" s="127"/>
      <c r="Z28" s="127"/>
      <c r="AA28" s="127"/>
      <c r="AB28" s="127"/>
      <c r="AC28" s="127"/>
      <c r="AD28" s="127"/>
      <c r="AE28" s="127"/>
      <c r="AF28" s="127"/>
      <c r="AG28" s="127"/>
    </row>
    <row r="29" spans="4:33" s="174" customFormat="1" ht="21.95" customHeight="1">
      <c r="D29" s="1007"/>
      <c r="E29" s="1008"/>
      <c r="F29" s="1009"/>
      <c r="G29" s="178" t="s">
        <v>128</v>
      </c>
      <c r="H29" s="168" t="s">
        <v>153</v>
      </c>
      <c r="I29" s="983" t="s">
        <v>154</v>
      </c>
      <c r="J29" s="1016"/>
      <c r="K29" s="984"/>
      <c r="L29" s="169">
        <v>2</v>
      </c>
      <c r="M29" s="964"/>
      <c r="O29" s="1002"/>
      <c r="P29" s="147"/>
      <c r="Q29" s="163"/>
      <c r="R29" s="163"/>
      <c r="S29" s="976" t="s">
        <v>170</v>
      </c>
      <c r="T29" s="977"/>
      <c r="U29" s="192">
        <v>1</v>
      </c>
      <c r="V29" s="964"/>
    </row>
    <row r="30" spans="4:33" ht="21.95" customHeight="1" thickBot="1">
      <c r="D30" s="1010"/>
      <c r="E30" s="1011"/>
      <c r="F30" s="1012"/>
      <c r="G30" s="179"/>
      <c r="H30" s="978" t="s">
        <v>155</v>
      </c>
      <c r="I30" s="978"/>
      <c r="J30" s="171"/>
      <c r="K30" s="171"/>
      <c r="L30" s="172"/>
      <c r="M30" s="965"/>
      <c r="O30" s="1002"/>
      <c r="P30" s="139" t="s">
        <v>128</v>
      </c>
      <c r="Q30" s="159" t="s">
        <v>160</v>
      </c>
      <c r="R30" s="150"/>
      <c r="S30" s="974" t="s">
        <v>171</v>
      </c>
      <c r="T30" s="975"/>
      <c r="U30" s="183">
        <v>1</v>
      </c>
      <c r="V30" s="964"/>
      <c r="Y30" s="174"/>
      <c r="Z30" s="174"/>
      <c r="AA30" s="174"/>
      <c r="AB30" s="174"/>
      <c r="AC30" s="174"/>
      <c r="AD30" s="174"/>
      <c r="AE30" s="174"/>
      <c r="AF30" s="174"/>
      <c r="AG30" s="174"/>
    </row>
    <row r="31" spans="4:33" s="174" customFormat="1" ht="21.95" customHeight="1">
      <c r="D31" s="185"/>
      <c r="E31" s="185"/>
      <c r="F31" s="185"/>
      <c r="G31" s="186"/>
      <c r="H31" s="187"/>
      <c r="I31" s="187"/>
      <c r="J31" s="187"/>
      <c r="K31" s="187"/>
      <c r="L31" s="188"/>
      <c r="M31" s="140"/>
      <c r="O31" s="1002"/>
      <c r="P31" s="143"/>
      <c r="Q31" s="163"/>
      <c r="R31" s="163"/>
      <c r="S31" s="976" t="s">
        <v>172</v>
      </c>
      <c r="T31" s="977"/>
      <c r="U31" s="184">
        <v>1</v>
      </c>
      <c r="V31" s="964"/>
    </row>
    <row r="32" spans="4:33" s="174" customFormat="1" ht="21.95" customHeight="1"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O32" s="1002"/>
      <c r="P32" s="139" t="s">
        <v>128</v>
      </c>
      <c r="Q32" s="159" t="s">
        <v>159</v>
      </c>
      <c r="R32" s="150"/>
      <c r="S32" s="974" t="s">
        <v>173</v>
      </c>
      <c r="T32" s="975"/>
      <c r="U32" s="183">
        <v>1</v>
      </c>
      <c r="V32" s="964"/>
      <c r="Y32" s="127"/>
      <c r="Z32" s="127"/>
      <c r="AA32" s="127"/>
      <c r="AB32" s="127"/>
      <c r="AC32" s="127"/>
      <c r="AD32" s="127"/>
      <c r="AE32" s="127"/>
      <c r="AF32" s="127"/>
      <c r="AG32" s="127"/>
    </row>
    <row r="33" spans="4:33" s="174" customFormat="1" ht="21.95" customHeight="1"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O33" s="1002"/>
      <c r="P33" s="147"/>
      <c r="Q33" s="163"/>
      <c r="R33" s="182"/>
      <c r="S33" s="981" t="s">
        <v>174</v>
      </c>
      <c r="T33" s="982"/>
      <c r="U33" s="164">
        <v>1</v>
      </c>
      <c r="V33" s="964"/>
      <c r="Y33" s="127"/>
      <c r="Z33" s="127"/>
      <c r="AA33" s="127"/>
      <c r="AB33" s="127"/>
      <c r="AC33" s="127"/>
      <c r="AD33" s="127"/>
      <c r="AE33" s="127"/>
      <c r="AF33" s="127"/>
      <c r="AG33" s="127"/>
    </row>
    <row r="34" spans="4:33" ht="21.95" customHeight="1">
      <c r="O34" s="1002"/>
      <c r="P34" s="147" t="s">
        <v>128</v>
      </c>
      <c r="Q34" s="163" t="s">
        <v>166</v>
      </c>
      <c r="R34" s="163"/>
      <c r="S34" s="979" t="s">
        <v>175</v>
      </c>
      <c r="T34" s="980"/>
      <c r="U34" s="192">
        <v>1</v>
      </c>
      <c r="V34" s="964"/>
    </row>
    <row r="35" spans="4:33" ht="21.95" customHeight="1" thickBot="1">
      <c r="D35" s="149"/>
      <c r="E35" s="149"/>
      <c r="O35" s="1003"/>
      <c r="P35" s="148"/>
      <c r="Q35" s="978" t="s">
        <v>155</v>
      </c>
      <c r="R35" s="978"/>
      <c r="S35" s="978"/>
      <c r="T35" s="171"/>
      <c r="U35" s="172"/>
      <c r="V35" s="965"/>
      <c r="Y35" s="155"/>
      <c r="Z35" s="155"/>
      <c r="AA35" s="155"/>
      <c r="AB35" s="155"/>
      <c r="AC35" s="155"/>
      <c r="AD35" s="155"/>
      <c r="AE35" s="155"/>
      <c r="AF35" s="155"/>
      <c r="AG35" s="155"/>
    </row>
    <row r="36" spans="4:33" ht="21.95" customHeight="1" thickBot="1">
      <c r="D36" s="149"/>
      <c r="E36" s="149"/>
      <c r="Y36" s="157"/>
      <c r="Z36" s="157"/>
      <c r="AA36" s="157"/>
      <c r="AB36" s="157"/>
      <c r="AC36" s="157"/>
      <c r="AD36" s="157"/>
      <c r="AE36" s="157"/>
      <c r="AF36" s="157"/>
      <c r="AG36" s="157"/>
    </row>
    <row r="37" spans="4:33" s="155" customFormat="1" ht="24" customHeight="1">
      <c r="D37" s="992" t="s">
        <v>124</v>
      </c>
      <c r="E37" s="993"/>
      <c r="F37" s="994"/>
      <c r="G37" s="938" t="s">
        <v>118</v>
      </c>
      <c r="H37" s="939"/>
      <c r="I37" s="939"/>
      <c r="J37" s="940"/>
      <c r="K37" s="941"/>
      <c r="L37" s="942" t="s">
        <v>66</v>
      </c>
      <c r="M37" s="936" t="s">
        <v>124</v>
      </c>
      <c r="O37" s="206" t="s">
        <v>182</v>
      </c>
      <c r="Y37" s="127"/>
      <c r="Z37" s="127"/>
      <c r="AA37" s="127"/>
      <c r="AB37" s="127"/>
      <c r="AC37" s="127"/>
      <c r="AD37" s="127"/>
      <c r="AE37" s="127"/>
      <c r="AF37" s="127"/>
      <c r="AG37" s="127"/>
    </row>
    <row r="38" spans="4:33" s="157" customFormat="1" ht="24" customHeight="1">
      <c r="D38" s="995"/>
      <c r="E38" s="996"/>
      <c r="F38" s="997"/>
      <c r="G38" s="1024" t="s">
        <v>125</v>
      </c>
      <c r="H38" s="1025"/>
      <c r="I38" s="1025" t="s">
        <v>126</v>
      </c>
      <c r="J38" s="1026"/>
      <c r="K38" s="1027"/>
      <c r="L38" s="1022"/>
      <c r="M38" s="937"/>
      <c r="O38" s="156"/>
      <c r="Y38" s="127"/>
      <c r="Z38" s="127"/>
      <c r="AA38" s="127"/>
      <c r="AB38" s="127"/>
      <c r="AC38" s="127"/>
      <c r="AD38" s="127"/>
      <c r="AE38" s="127"/>
      <c r="AF38" s="127"/>
      <c r="AG38" s="127"/>
    </row>
    <row r="39" spans="4:33" ht="27" customHeight="1">
      <c r="D39" s="995"/>
      <c r="E39" s="996"/>
      <c r="F39" s="996"/>
      <c r="G39" s="195" t="s">
        <v>128</v>
      </c>
      <c r="H39" s="196" t="s">
        <v>179</v>
      </c>
      <c r="I39" s="1028" t="s">
        <v>156</v>
      </c>
      <c r="J39" s="1028"/>
      <c r="K39" s="1028"/>
      <c r="L39" s="197">
        <f>SUM(U24)</f>
        <v>4</v>
      </c>
      <c r="M39" s="1029">
        <f>SUM(L39:L46)</f>
        <v>80</v>
      </c>
      <c r="O39" s="1033" t="s">
        <v>184</v>
      </c>
      <c r="P39" s="1033"/>
      <c r="Q39" s="1033"/>
      <c r="R39" s="207" t="s">
        <v>183</v>
      </c>
      <c r="S39" s="208">
        <f>SUM(L40:L45)-3</f>
        <v>73</v>
      </c>
      <c r="T39" s="209">
        <f>218073+1000+13500</f>
        <v>232573</v>
      </c>
      <c r="U39" s="917">
        <f>S39*T39</f>
        <v>16977829</v>
      </c>
      <c r="V39" s="917"/>
      <c r="X39" s="572">
        <v>2000000</v>
      </c>
      <c r="Y39" s="150"/>
      <c r="Z39" s="572">
        <f>S39*X39</f>
        <v>146000000</v>
      </c>
      <c r="AB39" s="574">
        <f>T39/16900</f>
        <v>13.761715976331361</v>
      </c>
      <c r="AC39" s="914">
        <f>AB39*21</f>
        <v>288.99603550295859</v>
      </c>
      <c r="AD39" s="914"/>
    </row>
    <row r="40" spans="4:33" ht="27" customHeight="1">
      <c r="D40" s="995"/>
      <c r="E40" s="996"/>
      <c r="F40" s="996"/>
      <c r="G40" s="200" t="s">
        <v>128</v>
      </c>
      <c r="H40" s="198" t="s">
        <v>181</v>
      </c>
      <c r="I40" s="1023" t="s">
        <v>158</v>
      </c>
      <c r="J40" s="1023"/>
      <c r="K40" s="1023"/>
      <c r="L40" s="205">
        <f>SUM(U25)</f>
        <v>1</v>
      </c>
      <c r="M40" s="1030"/>
      <c r="O40" s="1033" t="s">
        <v>185</v>
      </c>
      <c r="P40" s="1033"/>
      <c r="Q40" s="1033"/>
      <c r="R40" s="207" t="s">
        <v>183</v>
      </c>
      <c r="S40" s="208">
        <v>2</v>
      </c>
      <c r="T40" s="209">
        <f>224610+1000+13500</f>
        <v>239110</v>
      </c>
      <c r="U40" s="917">
        <f t="shared" ref="U40:U42" si="0">S40*T40</f>
        <v>478220</v>
      </c>
      <c r="V40" s="917"/>
      <c r="X40" s="572">
        <v>4350000</v>
      </c>
      <c r="Y40" s="150"/>
      <c r="Z40" s="572">
        <f t="shared" ref="Z40:Z42" si="1">S40*X40</f>
        <v>8700000</v>
      </c>
    </row>
    <row r="41" spans="4:33" ht="27" customHeight="1">
      <c r="D41" s="995"/>
      <c r="E41" s="996"/>
      <c r="F41" s="996"/>
      <c r="G41" s="200" t="s">
        <v>128</v>
      </c>
      <c r="H41" s="198" t="s">
        <v>178</v>
      </c>
      <c r="I41" s="1023" t="s">
        <v>158</v>
      </c>
      <c r="J41" s="1023"/>
      <c r="K41" s="1023"/>
      <c r="L41" s="199">
        <f>SUM(U26,U29,U33,U34)</f>
        <v>4</v>
      </c>
      <c r="M41" s="1031"/>
      <c r="O41" s="1033" t="s">
        <v>186</v>
      </c>
      <c r="P41" s="1033"/>
      <c r="Q41" s="1033"/>
      <c r="R41" s="207" t="s">
        <v>183</v>
      </c>
      <c r="S41" s="208">
        <v>1</v>
      </c>
      <c r="T41" s="209">
        <f>224610+10000+13500</f>
        <v>248110</v>
      </c>
      <c r="U41" s="917">
        <f t="shared" si="0"/>
        <v>248110</v>
      </c>
      <c r="V41" s="917"/>
      <c r="X41" s="572">
        <v>4350000</v>
      </c>
      <c r="Y41" s="150"/>
      <c r="Z41" s="572">
        <f t="shared" si="1"/>
        <v>4350000</v>
      </c>
    </row>
    <row r="42" spans="4:33" ht="27" customHeight="1">
      <c r="D42" s="995"/>
      <c r="E42" s="996"/>
      <c r="F42" s="996"/>
      <c r="G42" s="200" t="s">
        <v>128</v>
      </c>
      <c r="H42" s="198" t="s">
        <v>160</v>
      </c>
      <c r="I42" s="1023" t="s">
        <v>158</v>
      </c>
      <c r="J42" s="1023"/>
      <c r="K42" s="1023"/>
      <c r="L42" s="199">
        <f>SUM(U30:U31)</f>
        <v>2</v>
      </c>
      <c r="M42" s="1031"/>
      <c r="O42" s="210" t="s">
        <v>227</v>
      </c>
      <c r="P42" s="210"/>
      <c r="Q42" s="210"/>
      <c r="R42" s="211" t="s">
        <v>183</v>
      </c>
      <c r="S42" s="212">
        <f>L39</f>
        <v>4</v>
      </c>
      <c r="T42" s="213">
        <f>224610+1000+13500</f>
        <v>239110</v>
      </c>
      <c r="U42" s="916">
        <f t="shared" si="0"/>
        <v>956440</v>
      </c>
      <c r="V42" s="916"/>
      <c r="W42" s="149" t="s">
        <v>187</v>
      </c>
      <c r="X42" s="575">
        <v>4350000</v>
      </c>
      <c r="Y42" s="163"/>
      <c r="Z42" s="575">
        <f t="shared" si="1"/>
        <v>17400000</v>
      </c>
      <c r="AA42" s="576"/>
      <c r="AB42" s="576"/>
      <c r="AC42" s="576"/>
      <c r="AD42" s="576"/>
      <c r="AE42" s="149" t="s">
        <v>187</v>
      </c>
    </row>
    <row r="43" spans="4:33" ht="27" customHeight="1">
      <c r="D43" s="995"/>
      <c r="E43" s="996"/>
      <c r="F43" s="996"/>
      <c r="G43" s="200" t="s">
        <v>128</v>
      </c>
      <c r="H43" s="198" t="s">
        <v>180</v>
      </c>
      <c r="I43" s="1023" t="s">
        <v>158</v>
      </c>
      <c r="J43" s="1023"/>
      <c r="K43" s="1023"/>
      <c r="L43" s="199">
        <f>SUM(U27:U28)</f>
        <v>2</v>
      </c>
      <c r="M43" s="1031"/>
      <c r="O43" s="142"/>
      <c r="U43" s="915">
        <f>SUM(U39:V42)</f>
        <v>18660599</v>
      </c>
      <c r="V43" s="918"/>
      <c r="X43" s="150"/>
      <c r="Y43" s="150"/>
      <c r="Z43" s="572">
        <f>SUM(Z39:Z42)</f>
        <v>176450000</v>
      </c>
      <c r="AC43" s="919">
        <f>U43*10.5</f>
        <v>195936289.5</v>
      </c>
      <c r="AD43" s="919"/>
    </row>
    <row r="44" spans="4:33" ht="27" customHeight="1">
      <c r="D44" s="995"/>
      <c r="E44" s="996"/>
      <c r="F44" s="996"/>
      <c r="G44" s="200" t="s">
        <v>128</v>
      </c>
      <c r="H44" s="198" t="s">
        <v>159</v>
      </c>
      <c r="I44" s="1023" t="s">
        <v>158</v>
      </c>
      <c r="J44" s="1023"/>
      <c r="K44" s="1023"/>
      <c r="L44" s="201">
        <v>1</v>
      </c>
      <c r="M44" s="1031"/>
      <c r="O44" s="206" t="s">
        <v>264</v>
      </c>
      <c r="P44" s="155"/>
      <c r="Q44" s="155"/>
      <c r="AC44" s="920">
        <f>AC43/16000</f>
        <v>12246.018093750001</v>
      </c>
      <c r="AD44" s="920"/>
    </row>
    <row r="45" spans="4:33" ht="27" customHeight="1">
      <c r="D45" s="995"/>
      <c r="E45" s="996"/>
      <c r="F45" s="996"/>
      <c r="G45" s="204" t="s">
        <v>128</v>
      </c>
      <c r="H45" s="203" t="s">
        <v>177</v>
      </c>
      <c r="I45" s="1034" t="s">
        <v>158</v>
      </c>
      <c r="J45" s="1034"/>
      <c r="K45" s="1034"/>
      <c r="L45" s="202">
        <f>SUM(M8,V8,M24)</f>
        <v>66</v>
      </c>
      <c r="M45" s="1031"/>
      <c r="O45" s="1033" t="s">
        <v>277</v>
      </c>
      <c r="P45" s="1033"/>
      <c r="Q45" s="1033"/>
      <c r="R45" s="207" t="s">
        <v>183</v>
      </c>
      <c r="S45" s="208">
        <v>4</v>
      </c>
      <c r="T45" s="209">
        <f>(218073)*70%</f>
        <v>152651.09999999998</v>
      </c>
      <c r="U45" s="917">
        <f>S45*T45</f>
        <v>610604.39999999991</v>
      </c>
      <c r="V45" s="917"/>
    </row>
    <row r="46" spans="4:33" ht="21.95" customHeight="1" thickBot="1">
      <c r="D46" s="998"/>
      <c r="E46" s="999"/>
      <c r="F46" s="999"/>
      <c r="G46" s="170"/>
      <c r="H46" s="978" t="s">
        <v>155</v>
      </c>
      <c r="I46" s="978"/>
      <c r="J46" s="171"/>
      <c r="K46" s="171"/>
      <c r="L46" s="194"/>
      <c r="M46" s="1032"/>
      <c r="O46" s="210"/>
      <c r="P46" s="210"/>
      <c r="Q46" s="210"/>
      <c r="R46" s="211"/>
      <c r="S46" s="212"/>
      <c r="T46" s="213"/>
      <c r="U46" s="916"/>
      <c r="V46" s="916"/>
      <c r="W46" s="149" t="s">
        <v>187</v>
      </c>
    </row>
    <row r="47" spans="4:33" ht="18" customHeight="1">
      <c r="O47" s="142"/>
      <c r="U47" s="915">
        <f>SUM(U45:V46)</f>
        <v>610604.39999999991</v>
      </c>
      <c r="V47" s="915"/>
    </row>
    <row r="48" spans="4:33" ht="18" customHeight="1">
      <c r="W48" s="149"/>
    </row>
    <row r="49" spans="17:24" ht="20.100000000000001" customHeight="1"/>
    <row r="50" spans="17:24" ht="18" customHeight="1">
      <c r="T50" s="679">
        <f>T39*4</f>
        <v>930292</v>
      </c>
    </row>
    <row r="51" spans="17:24" ht="18" customHeight="1"/>
    <row r="52" spans="17:24" ht="20.100000000000001" customHeight="1"/>
    <row r="53" spans="17:24" ht="18" customHeight="1">
      <c r="Q53" s="680" t="s">
        <v>345</v>
      </c>
      <c r="R53" s="680"/>
      <c r="S53" s="680" t="s">
        <v>346</v>
      </c>
      <c r="T53" s="680" t="s">
        <v>347</v>
      </c>
      <c r="U53" s="895" t="s">
        <v>124</v>
      </c>
      <c r="V53" s="895"/>
      <c r="W53" s="174" t="s">
        <v>348</v>
      </c>
      <c r="X53" s="174"/>
    </row>
    <row r="54" spans="17:24" ht="18" customHeight="1">
      <c r="Q54" s="571">
        <v>218073</v>
      </c>
      <c r="R54" s="571"/>
      <c r="S54" s="571">
        <v>1000</v>
      </c>
      <c r="T54" s="571">
        <v>13500</v>
      </c>
      <c r="U54" s="894">
        <f>SUM(Q54:T54)</f>
        <v>232573</v>
      </c>
      <c r="V54" s="895"/>
      <c r="W54" s="174">
        <v>4</v>
      </c>
      <c r="X54" s="571">
        <f>U54*W54</f>
        <v>930292</v>
      </c>
    </row>
    <row r="55" spans="17:24" ht="9" customHeight="1"/>
  </sheetData>
  <mergeCells count="123">
    <mergeCell ref="S30:T30"/>
    <mergeCell ref="S26:T26"/>
    <mergeCell ref="D37:F46"/>
    <mergeCell ref="G37:K37"/>
    <mergeCell ref="L37:L38"/>
    <mergeCell ref="M37:M38"/>
    <mergeCell ref="I41:K41"/>
    <mergeCell ref="I42:K42"/>
    <mergeCell ref="G38:H38"/>
    <mergeCell ref="I38:K38"/>
    <mergeCell ref="I39:K39"/>
    <mergeCell ref="M39:M46"/>
    <mergeCell ref="I40:K40"/>
    <mergeCell ref="H46:I46"/>
    <mergeCell ref="O39:Q39"/>
    <mergeCell ref="O41:Q41"/>
    <mergeCell ref="O40:Q40"/>
    <mergeCell ref="I45:K45"/>
    <mergeCell ref="I44:K44"/>
    <mergeCell ref="I43:K43"/>
    <mergeCell ref="O45:Q45"/>
    <mergeCell ref="I24:K24"/>
    <mergeCell ref="I25:K25"/>
    <mergeCell ref="I22:K22"/>
    <mergeCell ref="D5:F19"/>
    <mergeCell ref="O5:O19"/>
    <mergeCell ref="O21:O35"/>
    <mergeCell ref="D21:F30"/>
    <mergeCell ref="M24:M30"/>
    <mergeCell ref="I28:K28"/>
    <mergeCell ref="I29:K29"/>
    <mergeCell ref="H30:I30"/>
    <mergeCell ref="I26:K26"/>
    <mergeCell ref="I27:K27"/>
    <mergeCell ref="I15:K15"/>
    <mergeCell ref="I16:K16"/>
    <mergeCell ref="I17:K17"/>
    <mergeCell ref="I18:K18"/>
    <mergeCell ref="H19:I19"/>
    <mergeCell ref="G21:K21"/>
    <mergeCell ref="G22:H22"/>
    <mergeCell ref="I14:K14"/>
    <mergeCell ref="S24:T24"/>
    <mergeCell ref="V24:V35"/>
    <mergeCell ref="L16:L17"/>
    <mergeCell ref="U16:U17"/>
    <mergeCell ref="P21:T21"/>
    <mergeCell ref="L21:L22"/>
    <mergeCell ref="M21:M22"/>
    <mergeCell ref="S28:T28"/>
    <mergeCell ref="S25:T25"/>
    <mergeCell ref="S27:T27"/>
    <mergeCell ref="S29:T29"/>
    <mergeCell ref="Q35:S35"/>
    <mergeCell ref="S31:T31"/>
    <mergeCell ref="S32:T32"/>
    <mergeCell ref="S34:T34"/>
    <mergeCell ref="S33:T33"/>
    <mergeCell ref="V21:V22"/>
    <mergeCell ref="S17:T17"/>
    <mergeCell ref="S18:T18"/>
    <mergeCell ref="Q19:S19"/>
    <mergeCell ref="P22:R22"/>
    <mergeCell ref="S22:T22"/>
    <mergeCell ref="V8:V19"/>
    <mergeCell ref="S13:T13"/>
    <mergeCell ref="S14:T14"/>
    <mergeCell ref="S15:T15"/>
    <mergeCell ref="S16:T16"/>
    <mergeCell ref="U21:U22"/>
    <mergeCell ref="I8:K8"/>
    <mergeCell ref="M8:M19"/>
    <mergeCell ref="S8:T8"/>
    <mergeCell ref="I9:K9"/>
    <mergeCell ref="S9:T9"/>
    <mergeCell ref="I10:K10"/>
    <mergeCell ref="S10:T10"/>
    <mergeCell ref="I11:K11"/>
    <mergeCell ref="S11:T11"/>
    <mergeCell ref="I12:K12"/>
    <mergeCell ref="S12:T12"/>
    <mergeCell ref="I13:K13"/>
    <mergeCell ref="AF5:AG5"/>
    <mergeCell ref="AA3:AB3"/>
    <mergeCell ref="AC3:AD3"/>
    <mergeCell ref="Y5:Y6"/>
    <mergeCell ref="AE5:AE6"/>
    <mergeCell ref="Z5:Z6"/>
    <mergeCell ref="AA6:AB6"/>
    <mergeCell ref="AA5:AD5"/>
    <mergeCell ref="G3:H3"/>
    <mergeCell ref="I3:J3"/>
    <mergeCell ref="U3:V3"/>
    <mergeCell ref="G6:H6"/>
    <mergeCell ref="I6:K6"/>
    <mergeCell ref="S6:T6"/>
    <mergeCell ref="V5:V6"/>
    <mergeCell ref="G5:K5"/>
    <mergeCell ref="L5:L6"/>
    <mergeCell ref="M5:M6"/>
    <mergeCell ref="P5:T5"/>
    <mergeCell ref="U5:U6"/>
    <mergeCell ref="P6:R6"/>
    <mergeCell ref="U54:V54"/>
    <mergeCell ref="U53:V53"/>
    <mergeCell ref="Z24:AB24"/>
    <mergeCell ref="Z25:AB25"/>
    <mergeCell ref="Z21:AD21"/>
    <mergeCell ref="Z22:AB22"/>
    <mergeCell ref="Y21:Y22"/>
    <mergeCell ref="AE21:AE22"/>
    <mergeCell ref="AF21:AG21"/>
    <mergeCell ref="AC39:AD39"/>
    <mergeCell ref="U47:V47"/>
    <mergeCell ref="U46:V46"/>
    <mergeCell ref="U39:V39"/>
    <mergeCell ref="U40:V40"/>
    <mergeCell ref="U41:V41"/>
    <mergeCell ref="U42:V42"/>
    <mergeCell ref="U43:V43"/>
    <mergeCell ref="U45:V45"/>
    <mergeCell ref="AC43:AD43"/>
    <mergeCell ref="AC44:AD44"/>
  </mergeCells>
  <pageMargins left="0" right="0" top="0" bottom="0" header="0.31496062992125984" footer="0.31496062992125984"/>
  <pageSetup scale="57" orientation="landscape" horizontalDpi="360" verticalDpi="360" r:id="rId1"/>
  <colBreaks count="1" manualBreakCount="1">
    <brk id="23" max="4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V89"/>
  <sheetViews>
    <sheetView topLeftCell="A27" zoomScale="70" zoomScaleNormal="70" zoomScaleSheetLayoutView="70" workbookViewId="0">
      <pane xSplit="15" topLeftCell="S1" activePane="topRight" state="frozen"/>
      <selection pane="topRight" activeCell="AD38" sqref="AD38"/>
    </sheetView>
  </sheetViews>
  <sheetFormatPr defaultColWidth="6.08203125" defaultRowHeight="18" customHeight="1"/>
  <cols>
    <col min="1" max="1" width="0.9140625" style="245" customWidth="1"/>
    <col min="2" max="2" width="2.6640625" style="245" customWidth="1"/>
    <col min="3" max="3" width="10.25" style="245" customWidth="1"/>
    <col min="4" max="4" width="10.6640625" style="245" customWidth="1"/>
    <col min="5" max="5" width="9.1640625" style="245" customWidth="1"/>
    <col min="6" max="6" width="9.75" style="245" hidden="1" customWidth="1"/>
    <col min="7" max="7" width="3.75" style="245" customWidth="1"/>
    <col min="8" max="8" width="5.25" style="245" customWidth="1"/>
    <col min="9" max="13" width="3.5" style="245" customWidth="1"/>
    <col min="14" max="14" width="6.1640625" style="245" customWidth="1"/>
    <col min="15" max="15" width="5.9140625" style="245" customWidth="1"/>
    <col min="16" max="46" width="3.4140625" style="245" customWidth="1"/>
    <col min="47" max="47" width="2.1640625" style="245" customWidth="1"/>
    <col min="48" max="48" width="7.58203125" style="245" customWidth="1"/>
    <col min="49" max="16384" width="6.08203125" style="245"/>
  </cols>
  <sheetData>
    <row r="1" spans="2:48" ht="9.9499999999999993" customHeight="1"/>
    <row r="2" spans="2:48" ht="18" customHeight="1">
      <c r="D2" s="246" t="s">
        <v>192</v>
      </c>
      <c r="L2" s="632"/>
      <c r="M2" s="706" t="s">
        <v>350</v>
      </c>
      <c r="N2" s="1035">
        <v>46091</v>
      </c>
      <c r="O2" s="1035"/>
    </row>
    <row r="3" spans="2:48" ht="18" customHeight="1">
      <c r="D3" s="247" t="s">
        <v>193</v>
      </c>
      <c r="V3" s="869"/>
      <c r="W3" s="869"/>
    </row>
    <row r="4" spans="2:48" ht="5.25" customHeight="1"/>
    <row r="5" spans="2:48" s="248" customFormat="1" ht="16.5" customHeight="1" thickBot="1">
      <c r="E5" s="249" t="s">
        <v>194</v>
      </c>
      <c r="F5" s="250">
        <f>I5-N5</f>
        <v>7</v>
      </c>
      <c r="G5" s="251"/>
      <c r="H5" s="249" t="s">
        <v>195</v>
      </c>
      <c r="I5" s="854">
        <v>20</v>
      </c>
      <c r="J5" s="854"/>
      <c r="K5" s="252"/>
      <c r="M5" s="249" t="s">
        <v>196</v>
      </c>
      <c r="N5" s="855">
        <f>COUNT(P7:AP7)</f>
        <v>13</v>
      </c>
      <c r="O5" s="855"/>
      <c r="P5" s="253" t="s">
        <v>119</v>
      </c>
      <c r="Q5" s="253" t="s">
        <v>120</v>
      </c>
      <c r="R5" s="253" t="s">
        <v>121</v>
      </c>
      <c r="S5" s="253" t="s">
        <v>122</v>
      </c>
      <c r="T5" s="253" t="s">
        <v>121</v>
      </c>
      <c r="U5" s="253" t="s">
        <v>123</v>
      </c>
      <c r="V5" s="253" t="s">
        <v>119</v>
      </c>
      <c r="W5" s="253" t="s">
        <v>119</v>
      </c>
      <c r="X5" s="253" t="s">
        <v>120</v>
      </c>
      <c r="Y5" s="253" t="s">
        <v>121</v>
      </c>
      <c r="Z5" s="253" t="s">
        <v>122</v>
      </c>
      <c r="AA5" s="253" t="s">
        <v>121</v>
      </c>
      <c r="AB5" s="253" t="s">
        <v>123</v>
      </c>
      <c r="AC5" s="253" t="s">
        <v>119</v>
      </c>
      <c r="AD5" s="253" t="s">
        <v>119</v>
      </c>
      <c r="AE5" s="253" t="s">
        <v>120</v>
      </c>
      <c r="AF5" s="253" t="s">
        <v>121</v>
      </c>
      <c r="AG5" s="253" t="s">
        <v>122</v>
      </c>
      <c r="AH5" s="253" t="s">
        <v>121</v>
      </c>
      <c r="AI5" s="253" t="s">
        <v>123</v>
      </c>
      <c r="AJ5" s="253" t="s">
        <v>119</v>
      </c>
      <c r="AK5" s="253" t="s">
        <v>119</v>
      </c>
      <c r="AL5" s="253" t="s">
        <v>120</v>
      </c>
      <c r="AM5" s="253" t="s">
        <v>121</v>
      </c>
      <c r="AN5" s="253" t="s">
        <v>122</v>
      </c>
      <c r="AO5" s="253" t="s">
        <v>121</v>
      </c>
      <c r="AP5" s="253" t="s">
        <v>123</v>
      </c>
      <c r="AQ5" s="253" t="s">
        <v>119</v>
      </c>
      <c r="AR5" s="245"/>
      <c r="AS5" s="245"/>
      <c r="AT5" s="245"/>
    </row>
    <row r="6" spans="2:48" s="260" customFormat="1" ht="18" customHeight="1" thickBot="1">
      <c r="B6" s="856" t="s">
        <v>115</v>
      </c>
      <c r="C6" s="858" t="s">
        <v>117</v>
      </c>
      <c r="D6" s="858" t="s">
        <v>116</v>
      </c>
      <c r="E6" s="858" t="s">
        <v>197</v>
      </c>
      <c r="F6" s="858"/>
      <c r="G6" s="858"/>
      <c r="H6" s="860" t="s">
        <v>198</v>
      </c>
      <c r="I6" s="861" t="s">
        <v>199</v>
      </c>
      <c r="J6" s="862"/>
      <c r="K6" s="862"/>
      <c r="L6" s="862"/>
      <c r="M6" s="862"/>
      <c r="N6" s="863"/>
      <c r="O6" s="867" t="s">
        <v>200</v>
      </c>
      <c r="P6" s="254">
        <v>1</v>
      </c>
      <c r="Q6" s="255">
        <v>2</v>
      </c>
      <c r="R6" s="255">
        <v>3</v>
      </c>
      <c r="S6" s="255">
        <v>4</v>
      </c>
      <c r="T6" s="255">
        <v>5</v>
      </c>
      <c r="U6" s="255">
        <v>6</v>
      </c>
      <c r="V6" s="256">
        <v>7</v>
      </c>
      <c r="W6" s="257">
        <v>8</v>
      </c>
      <c r="X6" s="255">
        <v>9</v>
      </c>
      <c r="Y6" s="255">
        <v>10</v>
      </c>
      <c r="Z6" s="255">
        <v>11</v>
      </c>
      <c r="AA6" s="255">
        <v>12</v>
      </c>
      <c r="AB6" s="255">
        <v>13</v>
      </c>
      <c r="AC6" s="256">
        <v>14</v>
      </c>
      <c r="AD6" s="257">
        <v>15</v>
      </c>
      <c r="AE6" s="258">
        <v>16</v>
      </c>
      <c r="AF6" s="257">
        <v>17</v>
      </c>
      <c r="AG6" s="255">
        <v>18</v>
      </c>
      <c r="AH6" s="255">
        <v>19</v>
      </c>
      <c r="AI6" s="255">
        <v>20</v>
      </c>
      <c r="AJ6" s="256">
        <v>21</v>
      </c>
      <c r="AK6" s="257">
        <v>22</v>
      </c>
      <c r="AL6" s="255">
        <v>23</v>
      </c>
      <c r="AM6" s="255">
        <v>24</v>
      </c>
      <c r="AN6" s="255">
        <v>25</v>
      </c>
      <c r="AO6" s="255">
        <v>26</v>
      </c>
      <c r="AP6" s="255">
        <v>27</v>
      </c>
      <c r="AQ6" s="259">
        <v>28</v>
      </c>
      <c r="AR6" s="245"/>
      <c r="AS6" s="245"/>
      <c r="AT6" s="245"/>
    </row>
    <row r="7" spans="2:48" s="260" customFormat="1" ht="17.25" customHeight="1" thickBot="1">
      <c r="B7" s="857"/>
      <c r="C7" s="859"/>
      <c r="D7" s="859"/>
      <c r="E7" s="261" t="s">
        <v>201</v>
      </c>
      <c r="F7" s="261" t="s">
        <v>202</v>
      </c>
      <c r="G7" s="261" t="s">
        <v>203</v>
      </c>
      <c r="H7" s="859"/>
      <c r="I7" s="864"/>
      <c r="J7" s="865"/>
      <c r="K7" s="865"/>
      <c r="L7" s="865"/>
      <c r="M7" s="865"/>
      <c r="N7" s="866"/>
      <c r="O7" s="868"/>
      <c r="P7" s="262"/>
      <c r="Q7" s="263"/>
      <c r="R7" s="263"/>
      <c r="S7" s="263"/>
      <c r="T7" s="263"/>
      <c r="U7" s="263"/>
      <c r="V7" s="263"/>
      <c r="W7" s="263"/>
      <c r="X7" s="263">
        <v>2</v>
      </c>
      <c r="Y7" s="263">
        <v>2</v>
      </c>
      <c r="Z7" s="263">
        <v>2</v>
      </c>
      <c r="AA7" s="263">
        <v>2</v>
      </c>
      <c r="AB7" s="263">
        <v>2</v>
      </c>
      <c r="AC7" s="263">
        <v>2</v>
      </c>
      <c r="AD7" s="263"/>
      <c r="AE7" s="263">
        <v>2</v>
      </c>
      <c r="AF7" s="263">
        <v>2</v>
      </c>
      <c r="AG7" s="263">
        <v>2</v>
      </c>
      <c r="AH7" s="263">
        <v>2</v>
      </c>
      <c r="AI7" s="263">
        <v>1</v>
      </c>
      <c r="AJ7" s="263"/>
      <c r="AK7" s="263"/>
      <c r="AL7" s="263"/>
      <c r="AM7" s="263"/>
      <c r="AN7" s="263"/>
      <c r="AO7" s="263">
        <v>2</v>
      </c>
      <c r="AP7" s="263">
        <v>2</v>
      </c>
      <c r="AQ7" s="264">
        <v>2</v>
      </c>
      <c r="AR7" s="245"/>
      <c r="AS7" s="245"/>
      <c r="AT7" s="245"/>
    </row>
    <row r="8" spans="2:48" s="260" customFormat="1" ht="30" customHeight="1">
      <c r="B8" s="853" t="s">
        <v>41</v>
      </c>
      <c r="C8" s="882" t="s">
        <v>256</v>
      </c>
      <c r="D8" s="882" t="s">
        <v>127</v>
      </c>
      <c r="E8" s="882" t="s">
        <v>204</v>
      </c>
      <c r="F8" s="882" t="s">
        <v>205</v>
      </c>
      <c r="G8" s="882">
        <v>35</v>
      </c>
      <c r="H8" s="882">
        <v>1000</v>
      </c>
      <c r="I8" s="844" t="s">
        <v>206</v>
      </c>
      <c r="J8" s="845"/>
      <c r="K8" s="845"/>
      <c r="L8" s="845"/>
      <c r="M8" s="845"/>
      <c r="N8" s="846"/>
      <c r="O8" s="265">
        <f>SUM(P8:AP8)</f>
        <v>450</v>
      </c>
      <c r="P8" s="266"/>
      <c r="Q8" s="267"/>
      <c r="R8" s="267"/>
      <c r="S8" s="267"/>
      <c r="T8" s="267"/>
      <c r="U8" s="267">
        <v>150</v>
      </c>
      <c r="V8" s="267"/>
      <c r="W8" s="267"/>
      <c r="X8" s="267">
        <v>160</v>
      </c>
      <c r="Y8" s="267">
        <v>140</v>
      </c>
      <c r="Z8" s="267"/>
      <c r="AA8" s="267"/>
      <c r="AB8" s="267"/>
      <c r="AC8" s="267"/>
      <c r="AD8" s="268"/>
      <c r="AE8" s="268"/>
      <c r="AF8" s="268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9"/>
    </row>
    <row r="9" spans="2:48" s="260" customFormat="1" ht="30" customHeight="1">
      <c r="B9" s="840"/>
      <c r="C9" s="842"/>
      <c r="D9" s="842"/>
      <c r="E9" s="842"/>
      <c r="F9" s="842"/>
      <c r="G9" s="842"/>
      <c r="H9" s="842"/>
      <c r="I9" s="847" t="s">
        <v>207</v>
      </c>
      <c r="J9" s="848"/>
      <c r="K9" s="848"/>
      <c r="L9" s="848"/>
      <c r="M9" s="848"/>
      <c r="N9" s="849"/>
      <c r="O9" s="270">
        <f>SUM(P9:AQ9)</f>
        <v>460</v>
      </c>
      <c r="P9" s="271"/>
      <c r="Q9" s="272"/>
      <c r="R9" s="272"/>
      <c r="S9" s="272"/>
      <c r="T9" s="272"/>
      <c r="U9" s="272"/>
      <c r="V9" s="272"/>
      <c r="W9" s="272"/>
      <c r="X9" s="272">
        <v>240</v>
      </c>
      <c r="Y9" s="272">
        <v>220</v>
      </c>
      <c r="Z9" s="272"/>
      <c r="AA9" s="272"/>
      <c r="AB9" s="272"/>
      <c r="AC9" s="272"/>
      <c r="AD9" s="273"/>
      <c r="AE9" s="273"/>
      <c r="AF9" s="273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4"/>
    </row>
    <row r="10" spans="2:48" s="280" customFormat="1" ht="30" customHeight="1">
      <c r="B10" s="839" t="s">
        <v>42</v>
      </c>
      <c r="C10" s="843" t="s">
        <v>257</v>
      </c>
      <c r="D10" s="843" t="s">
        <v>127</v>
      </c>
      <c r="E10" s="843" t="s">
        <v>138</v>
      </c>
      <c r="F10" s="843" t="s">
        <v>208</v>
      </c>
      <c r="G10" s="843">
        <v>50</v>
      </c>
      <c r="H10" s="843">
        <v>1000</v>
      </c>
      <c r="I10" s="844" t="s">
        <v>206</v>
      </c>
      <c r="J10" s="845"/>
      <c r="K10" s="845"/>
      <c r="L10" s="845"/>
      <c r="M10" s="845"/>
      <c r="N10" s="846"/>
      <c r="O10" s="275">
        <f>SUM(P10:AP10)</f>
        <v>1000</v>
      </c>
      <c r="P10" s="276"/>
      <c r="Q10" s="277"/>
      <c r="R10" s="277"/>
      <c r="S10" s="277"/>
      <c r="T10" s="277"/>
      <c r="U10" s="277"/>
      <c r="V10" s="277"/>
      <c r="W10" s="277"/>
      <c r="X10" s="277"/>
      <c r="Y10" s="277">
        <v>80</v>
      </c>
      <c r="Z10" s="277">
        <v>240</v>
      </c>
      <c r="AA10" s="277">
        <v>240</v>
      </c>
      <c r="AB10" s="277">
        <v>240</v>
      </c>
      <c r="AC10" s="277">
        <v>200</v>
      </c>
      <c r="AD10" s="278"/>
      <c r="AE10" s="278"/>
      <c r="AF10" s="278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9"/>
    </row>
    <row r="11" spans="2:48" s="280" customFormat="1" ht="30" customHeight="1">
      <c r="B11" s="840"/>
      <c r="C11" s="842"/>
      <c r="D11" s="842"/>
      <c r="E11" s="842"/>
      <c r="F11" s="842"/>
      <c r="G11" s="842"/>
      <c r="H11" s="842"/>
      <c r="I11" s="847" t="s">
        <v>207</v>
      </c>
      <c r="J11" s="848"/>
      <c r="K11" s="848"/>
      <c r="L11" s="848"/>
      <c r="M11" s="848"/>
      <c r="N11" s="849"/>
      <c r="O11" s="270">
        <f>SUM(P11:AQ11)</f>
        <v>960</v>
      </c>
      <c r="P11" s="271"/>
      <c r="Q11" s="272"/>
      <c r="R11" s="272"/>
      <c r="S11" s="272"/>
      <c r="T11" s="272"/>
      <c r="U11" s="272"/>
      <c r="V11" s="272"/>
      <c r="W11" s="272"/>
      <c r="X11" s="272"/>
      <c r="Y11" s="272">
        <v>60</v>
      </c>
      <c r="Z11" s="272">
        <v>240</v>
      </c>
      <c r="AA11" s="272">
        <v>240</v>
      </c>
      <c r="AB11" s="272">
        <v>240</v>
      </c>
      <c r="AC11" s="272">
        <v>180</v>
      </c>
      <c r="AD11" s="273"/>
      <c r="AE11" s="273"/>
      <c r="AF11" s="273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4"/>
    </row>
    <row r="12" spans="2:48" s="280" customFormat="1" ht="30" customHeight="1">
      <c r="B12" s="839" t="s">
        <v>44</v>
      </c>
      <c r="C12" s="843" t="s">
        <v>258</v>
      </c>
      <c r="D12" s="843" t="s">
        <v>127</v>
      </c>
      <c r="E12" s="843" t="s">
        <v>204</v>
      </c>
      <c r="F12" s="843" t="s">
        <v>205</v>
      </c>
      <c r="G12" s="843">
        <v>35</v>
      </c>
      <c r="H12" s="843">
        <v>500</v>
      </c>
      <c r="I12" s="844" t="s">
        <v>206</v>
      </c>
      <c r="J12" s="845"/>
      <c r="K12" s="845"/>
      <c r="L12" s="845"/>
      <c r="M12" s="845"/>
      <c r="N12" s="846"/>
      <c r="O12" s="275">
        <f>SUM(P12:AQ12)</f>
        <v>500</v>
      </c>
      <c r="P12" s="276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8"/>
      <c r="AE12" s="278"/>
      <c r="AF12" s="278"/>
      <c r="AG12" s="277">
        <v>180</v>
      </c>
      <c r="AH12" s="277">
        <v>240</v>
      </c>
      <c r="AI12" s="277">
        <v>80</v>
      </c>
      <c r="AJ12" s="277"/>
      <c r="AK12" s="277"/>
      <c r="AL12" s="277"/>
      <c r="AM12" s="277"/>
      <c r="AN12" s="277"/>
      <c r="AO12" s="277"/>
      <c r="AP12" s="277"/>
      <c r="AQ12" s="279"/>
    </row>
    <row r="13" spans="2:48" s="280" customFormat="1" ht="30" customHeight="1" thickBot="1">
      <c r="B13" s="840"/>
      <c r="C13" s="842"/>
      <c r="D13" s="842"/>
      <c r="E13" s="842"/>
      <c r="F13" s="842"/>
      <c r="G13" s="842"/>
      <c r="H13" s="842"/>
      <c r="I13" s="847" t="s">
        <v>207</v>
      </c>
      <c r="J13" s="848"/>
      <c r="K13" s="848"/>
      <c r="L13" s="848"/>
      <c r="M13" s="848"/>
      <c r="N13" s="849"/>
      <c r="O13" s="270">
        <f>SUM(P13:AQ13)</f>
        <v>320</v>
      </c>
      <c r="P13" s="271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3"/>
      <c r="AE13" s="273"/>
      <c r="AF13" s="273"/>
      <c r="AG13" s="272">
        <v>60</v>
      </c>
      <c r="AH13" s="272">
        <v>140</v>
      </c>
      <c r="AI13" s="272">
        <v>120</v>
      </c>
      <c r="AJ13" s="272"/>
      <c r="AK13" s="272"/>
      <c r="AL13" s="272"/>
      <c r="AM13" s="272"/>
      <c r="AN13" s="272"/>
      <c r="AO13" s="272"/>
      <c r="AP13" s="272"/>
      <c r="AQ13" s="274"/>
    </row>
    <row r="14" spans="2:48" s="260" customFormat="1" ht="30" customHeight="1">
      <c r="B14" s="853" t="s">
        <v>255</v>
      </c>
      <c r="C14" s="843" t="s">
        <v>259</v>
      </c>
      <c r="D14" s="843" t="s">
        <v>127</v>
      </c>
      <c r="E14" s="843" t="s">
        <v>204</v>
      </c>
      <c r="F14" s="843" t="s">
        <v>205</v>
      </c>
      <c r="G14" s="843">
        <v>35</v>
      </c>
      <c r="H14" s="843">
        <v>1500</v>
      </c>
      <c r="I14" s="844" t="s">
        <v>206</v>
      </c>
      <c r="J14" s="845"/>
      <c r="K14" s="845"/>
      <c r="L14" s="845"/>
      <c r="M14" s="845"/>
      <c r="N14" s="846"/>
      <c r="O14" s="275">
        <f>SUM(P14:AQ14)</f>
        <v>0</v>
      </c>
      <c r="P14" s="281"/>
      <c r="Q14" s="277"/>
      <c r="R14" s="277"/>
      <c r="S14" s="277"/>
      <c r="T14" s="277"/>
      <c r="U14" s="277"/>
      <c r="V14" s="282"/>
      <c r="W14" s="282"/>
      <c r="X14" s="282"/>
      <c r="Y14" s="282"/>
      <c r="Z14" s="282"/>
      <c r="AA14" s="282"/>
      <c r="AB14" s="282"/>
      <c r="AC14" s="282"/>
      <c r="AD14" s="283"/>
      <c r="AE14" s="283"/>
      <c r="AF14" s="283"/>
      <c r="AG14" s="282"/>
      <c r="AH14" s="282"/>
      <c r="AI14" s="282"/>
      <c r="AJ14" s="282"/>
      <c r="AK14" s="282"/>
      <c r="AL14" s="277"/>
      <c r="AM14" s="277"/>
      <c r="AN14" s="277"/>
      <c r="AO14" s="277"/>
      <c r="AP14" s="277"/>
      <c r="AQ14" s="279"/>
      <c r="AR14" s="280"/>
      <c r="AS14" s="280"/>
      <c r="AT14" s="280"/>
      <c r="AU14" s="280"/>
      <c r="AV14" s="280"/>
    </row>
    <row r="15" spans="2:48" s="260" customFormat="1" ht="30" customHeight="1" thickBot="1">
      <c r="B15" s="840"/>
      <c r="C15" s="842"/>
      <c r="D15" s="842"/>
      <c r="E15" s="842"/>
      <c r="F15" s="842"/>
      <c r="G15" s="842"/>
      <c r="H15" s="842"/>
      <c r="I15" s="847" t="s">
        <v>207</v>
      </c>
      <c r="J15" s="848"/>
      <c r="K15" s="848"/>
      <c r="L15" s="848"/>
      <c r="M15" s="848"/>
      <c r="N15" s="849"/>
      <c r="O15" s="270">
        <f>SUM(P15:AQ15)</f>
        <v>0</v>
      </c>
      <c r="P15" s="271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3"/>
      <c r="AE15" s="273"/>
      <c r="AF15" s="273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4"/>
      <c r="AR15" s="280"/>
      <c r="AS15" s="280"/>
      <c r="AT15" s="280"/>
      <c r="AU15" s="280"/>
      <c r="AV15" s="280"/>
    </row>
    <row r="16" spans="2:48" s="280" customFormat="1" ht="18" hidden="1" customHeight="1">
      <c r="B16" s="839" t="s">
        <v>45</v>
      </c>
      <c r="C16" s="843" t="s">
        <v>209</v>
      </c>
      <c r="D16" s="843" t="s">
        <v>127</v>
      </c>
      <c r="E16" s="843" t="s">
        <v>138</v>
      </c>
      <c r="F16" s="843" t="s">
        <v>205</v>
      </c>
      <c r="G16" s="843">
        <v>50</v>
      </c>
      <c r="H16" s="843">
        <v>1000</v>
      </c>
      <c r="I16" s="875" t="s">
        <v>206</v>
      </c>
      <c r="J16" s="876"/>
      <c r="K16" s="876"/>
      <c r="L16" s="876"/>
      <c r="M16" s="876"/>
      <c r="N16" s="877"/>
      <c r="O16" s="284">
        <f>SUM(P16:AP16)</f>
        <v>0</v>
      </c>
      <c r="P16" s="276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9"/>
    </row>
    <row r="17" spans="2:47" s="280" customFormat="1" ht="18" hidden="1" customHeight="1" thickBot="1">
      <c r="B17" s="840"/>
      <c r="C17" s="842"/>
      <c r="D17" s="842"/>
      <c r="E17" s="842"/>
      <c r="F17" s="842"/>
      <c r="G17" s="842"/>
      <c r="H17" s="842"/>
      <c r="I17" s="878" t="s">
        <v>207</v>
      </c>
      <c r="J17" s="879"/>
      <c r="K17" s="879"/>
      <c r="L17" s="879"/>
      <c r="M17" s="879"/>
      <c r="N17" s="880"/>
      <c r="O17" s="270">
        <f>SUM(P17:AQ17)</f>
        <v>0</v>
      </c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7"/>
    </row>
    <row r="18" spans="2:47" s="260" customFormat="1" ht="18.75" hidden="1" customHeight="1">
      <c r="B18" s="288"/>
      <c r="C18" s="289"/>
      <c r="D18" s="289"/>
      <c r="E18" s="289"/>
      <c r="F18" s="289"/>
      <c r="G18" s="289"/>
      <c r="H18" s="289"/>
      <c r="I18" s="290"/>
      <c r="J18" s="290"/>
      <c r="K18" s="291"/>
      <c r="L18" s="291"/>
      <c r="M18" s="292"/>
      <c r="N18" s="293"/>
      <c r="O18" s="294"/>
      <c r="P18" s="281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95"/>
      <c r="AR18" s="296"/>
    </row>
    <row r="19" spans="2:47" s="260" customFormat="1" ht="18.75" hidden="1" customHeight="1">
      <c r="B19" s="288"/>
      <c r="C19" s="289"/>
      <c r="D19" s="289"/>
      <c r="E19" s="289"/>
      <c r="F19" s="289"/>
      <c r="G19" s="289"/>
      <c r="H19" s="289"/>
      <c r="I19" s="290"/>
      <c r="J19" s="290"/>
      <c r="K19" s="291"/>
      <c r="L19" s="291"/>
      <c r="M19" s="292"/>
      <c r="N19" s="293"/>
      <c r="O19" s="294"/>
      <c r="P19" s="297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9"/>
      <c r="AR19" s="296"/>
    </row>
    <row r="20" spans="2:47" s="260" customFormat="1" ht="18.75" hidden="1" customHeight="1">
      <c r="B20" s="288"/>
      <c r="C20" s="289"/>
      <c r="D20" s="289"/>
      <c r="E20" s="289"/>
      <c r="F20" s="289"/>
      <c r="G20" s="289"/>
      <c r="H20" s="289"/>
      <c r="I20" s="290"/>
      <c r="J20" s="290"/>
      <c r="K20" s="291"/>
      <c r="L20" s="291"/>
      <c r="M20" s="292"/>
      <c r="N20" s="293"/>
      <c r="O20" s="294"/>
      <c r="P20" s="297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9"/>
      <c r="AR20" s="296"/>
    </row>
    <row r="21" spans="2:47" s="260" customFormat="1" ht="18.75" hidden="1" customHeight="1" thickBot="1">
      <c r="B21" s="288"/>
      <c r="C21" s="289"/>
      <c r="D21" s="289"/>
      <c r="E21" s="289"/>
      <c r="F21" s="289"/>
      <c r="G21" s="289"/>
      <c r="H21" s="289"/>
      <c r="I21" s="290"/>
      <c r="J21" s="290"/>
      <c r="K21" s="291"/>
      <c r="L21" s="291"/>
      <c r="M21" s="292"/>
      <c r="N21" s="293"/>
      <c r="O21" s="294"/>
      <c r="P21" s="285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7"/>
      <c r="AR21" s="296"/>
    </row>
    <row r="22" spans="2:47" s="305" customFormat="1" ht="30" customHeight="1">
      <c r="B22" s="300"/>
      <c r="C22" s="301"/>
      <c r="D22" s="301"/>
      <c r="E22" s="302"/>
      <c r="F22" s="302"/>
      <c r="G22" s="302"/>
      <c r="H22" s="303"/>
      <c r="I22" s="850" t="s">
        <v>206</v>
      </c>
      <c r="J22" s="851"/>
      <c r="K22" s="851"/>
      <c r="L22" s="851"/>
      <c r="M22" s="851"/>
      <c r="N22" s="852"/>
      <c r="O22" s="304">
        <f>SUM(O8,O10,O12,O14)</f>
        <v>1950</v>
      </c>
      <c r="P22" s="473"/>
      <c r="Q22" s="474"/>
      <c r="R22" s="474"/>
      <c r="S22" s="474"/>
      <c r="T22" s="474"/>
      <c r="U22" s="474"/>
      <c r="V22" s="474"/>
      <c r="W22" s="474"/>
      <c r="X22" s="474"/>
      <c r="Y22" s="474"/>
      <c r="Z22" s="474"/>
      <c r="AA22" s="870" t="s">
        <v>210</v>
      </c>
      <c r="AB22" s="870"/>
      <c r="AC22" s="870"/>
      <c r="AD22" s="870"/>
      <c r="AE22" s="870" t="s">
        <v>211</v>
      </c>
      <c r="AF22" s="870"/>
      <c r="AG22" s="870"/>
      <c r="AH22" s="870"/>
      <c r="AI22" s="870" t="s">
        <v>212</v>
      </c>
      <c r="AJ22" s="870"/>
      <c r="AK22" s="870"/>
      <c r="AL22" s="870"/>
      <c r="AM22" s="870"/>
      <c r="AN22" s="870" t="s">
        <v>217</v>
      </c>
      <c r="AO22" s="870"/>
      <c r="AP22" s="870"/>
      <c r="AQ22" s="871"/>
    </row>
    <row r="23" spans="2:47" s="305" customFormat="1" ht="30" customHeight="1" thickBot="1">
      <c r="B23" s="306"/>
      <c r="C23" s="307"/>
      <c r="D23" s="307"/>
      <c r="E23" s="308"/>
      <c r="F23" s="308"/>
      <c r="G23" s="308"/>
      <c r="H23" s="309"/>
      <c r="I23" s="836" t="s">
        <v>207</v>
      </c>
      <c r="J23" s="837"/>
      <c r="K23" s="837"/>
      <c r="L23" s="837"/>
      <c r="M23" s="837"/>
      <c r="N23" s="838"/>
      <c r="O23" s="310">
        <f>SUM(O9,O11,O13,O15)</f>
        <v>1740</v>
      </c>
      <c r="P23" s="306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11"/>
      <c r="AB23" s="311" t="s">
        <v>213</v>
      </c>
      <c r="AC23" s="311"/>
      <c r="AD23" s="311"/>
      <c r="AE23" s="311"/>
      <c r="AF23" s="311" t="s">
        <v>214</v>
      </c>
      <c r="AG23" s="311"/>
      <c r="AH23" s="311"/>
      <c r="AI23" s="881" t="s">
        <v>228</v>
      </c>
      <c r="AJ23" s="881"/>
      <c r="AK23" s="881"/>
      <c r="AL23" s="881"/>
      <c r="AM23" s="311"/>
      <c r="AN23" s="493"/>
      <c r="AO23" s="493" t="s">
        <v>230</v>
      </c>
      <c r="AP23" s="493"/>
      <c r="AQ23" s="492" t="s">
        <v>231</v>
      </c>
    </row>
    <row r="24" spans="2:47" ht="16.5" customHeight="1">
      <c r="AI24" s="872" t="s">
        <v>211</v>
      </c>
      <c r="AJ24" s="873"/>
      <c r="AK24" s="873"/>
      <c r="AL24" s="874"/>
      <c r="AN24" s="305"/>
      <c r="AO24" s="305"/>
      <c r="AP24" s="305"/>
      <c r="AQ24" s="305"/>
    </row>
    <row r="25" spans="2:47" ht="18" customHeight="1" thickBot="1">
      <c r="D25" s="246" t="s">
        <v>216</v>
      </c>
      <c r="AI25" s="471"/>
      <c r="AJ25" s="311" t="s">
        <v>229</v>
      </c>
      <c r="AK25" s="311"/>
      <c r="AL25" s="472" t="s">
        <v>215</v>
      </c>
      <c r="AN25" s="305"/>
      <c r="AO25" s="305"/>
      <c r="AP25" s="305"/>
      <c r="AQ25" s="305"/>
    </row>
    <row r="26" spans="2:47" ht="18" customHeight="1">
      <c r="D26" s="247" t="s">
        <v>193</v>
      </c>
      <c r="V26" s="869"/>
      <c r="W26" s="869"/>
      <c r="AR26" s="305"/>
      <c r="AS26" s="305"/>
      <c r="AT26" s="305"/>
      <c r="AU26" s="305"/>
    </row>
    <row r="27" spans="2:47" ht="5.25" customHeight="1"/>
    <row r="28" spans="2:47" s="248" customFormat="1" ht="16.5" customHeight="1" thickBot="1">
      <c r="E28" s="249" t="s">
        <v>194</v>
      </c>
      <c r="F28" s="250">
        <f>I28-N28</f>
        <v>0</v>
      </c>
      <c r="G28" s="251"/>
      <c r="H28" s="249" t="s">
        <v>195</v>
      </c>
      <c r="I28" s="854">
        <v>19</v>
      </c>
      <c r="J28" s="854"/>
      <c r="K28" s="252"/>
      <c r="M28" s="249" t="s">
        <v>196</v>
      </c>
      <c r="N28" s="855">
        <f>COUNT(P30:AT30)</f>
        <v>19</v>
      </c>
      <c r="O28" s="855"/>
      <c r="P28" s="253" t="s">
        <v>119</v>
      </c>
      <c r="Q28" s="253" t="s">
        <v>120</v>
      </c>
      <c r="R28" s="253" t="s">
        <v>121</v>
      </c>
      <c r="S28" s="253" t="s">
        <v>122</v>
      </c>
      <c r="T28" s="253" t="s">
        <v>121</v>
      </c>
      <c r="U28" s="253" t="s">
        <v>123</v>
      </c>
      <c r="V28" s="253" t="s">
        <v>119</v>
      </c>
      <c r="W28" s="253" t="s">
        <v>119</v>
      </c>
      <c r="X28" s="253" t="s">
        <v>120</v>
      </c>
      <c r="Y28" s="253" t="s">
        <v>121</v>
      </c>
      <c r="Z28" s="253" t="s">
        <v>122</v>
      </c>
      <c r="AA28" s="253" t="s">
        <v>121</v>
      </c>
      <c r="AB28" s="253" t="s">
        <v>123</v>
      </c>
      <c r="AC28" s="253" t="s">
        <v>119</v>
      </c>
      <c r="AD28" s="253" t="s">
        <v>119</v>
      </c>
      <c r="AE28" s="253" t="s">
        <v>120</v>
      </c>
      <c r="AF28" s="253" t="s">
        <v>121</v>
      </c>
      <c r="AG28" s="253" t="s">
        <v>122</v>
      </c>
      <c r="AH28" s="253" t="s">
        <v>121</v>
      </c>
      <c r="AI28" s="253" t="s">
        <v>123</v>
      </c>
      <c r="AJ28" s="253" t="s">
        <v>119</v>
      </c>
      <c r="AK28" s="253" t="s">
        <v>119</v>
      </c>
      <c r="AL28" s="253" t="s">
        <v>120</v>
      </c>
      <c r="AM28" s="253" t="s">
        <v>121</v>
      </c>
      <c r="AN28" s="253" t="s">
        <v>122</v>
      </c>
      <c r="AO28" s="253" t="s">
        <v>121</v>
      </c>
      <c r="AP28" s="253" t="s">
        <v>123</v>
      </c>
      <c r="AQ28" s="253" t="s">
        <v>119</v>
      </c>
      <c r="AR28" s="253" t="s">
        <v>119</v>
      </c>
      <c r="AS28" s="253" t="s">
        <v>120</v>
      </c>
      <c r="AT28" s="253" t="s">
        <v>121</v>
      </c>
    </row>
    <row r="29" spans="2:47" s="260" customFormat="1" ht="18" customHeight="1" thickBot="1">
      <c r="B29" s="856" t="s">
        <v>115</v>
      </c>
      <c r="C29" s="858" t="s">
        <v>117</v>
      </c>
      <c r="D29" s="858" t="s">
        <v>116</v>
      </c>
      <c r="E29" s="858" t="s">
        <v>197</v>
      </c>
      <c r="F29" s="858"/>
      <c r="G29" s="858"/>
      <c r="H29" s="860" t="s">
        <v>198</v>
      </c>
      <c r="I29" s="861" t="s">
        <v>199</v>
      </c>
      <c r="J29" s="862"/>
      <c r="K29" s="862"/>
      <c r="L29" s="862"/>
      <c r="M29" s="862"/>
      <c r="N29" s="863"/>
      <c r="O29" s="867" t="s">
        <v>200</v>
      </c>
      <c r="P29" s="254">
        <v>1</v>
      </c>
      <c r="Q29" s="255">
        <v>2</v>
      </c>
      <c r="R29" s="255">
        <v>3</v>
      </c>
      <c r="S29" s="255">
        <v>4</v>
      </c>
      <c r="T29" s="255">
        <v>5</v>
      </c>
      <c r="U29" s="255">
        <v>6</v>
      </c>
      <c r="V29" s="256">
        <v>7</v>
      </c>
      <c r="W29" s="257">
        <v>8</v>
      </c>
      <c r="X29" s="255">
        <v>9</v>
      </c>
      <c r="Y29" s="255">
        <v>10</v>
      </c>
      <c r="Z29" s="255">
        <v>11</v>
      </c>
      <c r="AA29" s="255">
        <v>12</v>
      </c>
      <c r="AB29" s="255">
        <v>13</v>
      </c>
      <c r="AC29" s="256">
        <v>14</v>
      </c>
      <c r="AD29" s="257">
        <v>15</v>
      </c>
      <c r="AE29" s="255">
        <v>16</v>
      </c>
      <c r="AF29" s="673">
        <v>17</v>
      </c>
      <c r="AG29" s="255">
        <v>18</v>
      </c>
      <c r="AH29" s="255">
        <v>19</v>
      </c>
      <c r="AI29" s="258">
        <v>20</v>
      </c>
      <c r="AJ29" s="256">
        <v>21</v>
      </c>
      <c r="AK29" s="257">
        <v>22</v>
      </c>
      <c r="AL29" s="258">
        <v>23</v>
      </c>
      <c r="AM29" s="258">
        <v>24</v>
      </c>
      <c r="AN29" s="255">
        <v>25</v>
      </c>
      <c r="AO29" s="255">
        <v>26</v>
      </c>
      <c r="AP29" s="255">
        <v>27</v>
      </c>
      <c r="AQ29" s="256">
        <v>28</v>
      </c>
      <c r="AR29" s="257">
        <v>29</v>
      </c>
      <c r="AS29" s="255">
        <v>30</v>
      </c>
      <c r="AT29" s="312">
        <v>31</v>
      </c>
      <c r="AU29" s="296"/>
    </row>
    <row r="30" spans="2:47" s="260" customFormat="1" ht="17.25" customHeight="1" thickBot="1">
      <c r="B30" s="857"/>
      <c r="C30" s="859"/>
      <c r="D30" s="859"/>
      <c r="E30" s="261" t="s">
        <v>201</v>
      </c>
      <c r="F30" s="261" t="s">
        <v>202</v>
      </c>
      <c r="G30" s="261" t="s">
        <v>203</v>
      </c>
      <c r="H30" s="859"/>
      <c r="I30" s="864"/>
      <c r="J30" s="865"/>
      <c r="K30" s="865"/>
      <c r="L30" s="865"/>
      <c r="M30" s="865"/>
      <c r="N30" s="866"/>
      <c r="O30" s="868"/>
      <c r="P30" s="262"/>
      <c r="Q30" s="263"/>
      <c r="R30" s="263"/>
      <c r="S30" s="263"/>
      <c r="T30" s="263">
        <v>1</v>
      </c>
      <c r="U30" s="263">
        <v>2</v>
      </c>
      <c r="V30" s="263">
        <v>2</v>
      </c>
      <c r="W30" s="263">
        <v>2</v>
      </c>
      <c r="X30" s="263">
        <v>2</v>
      </c>
      <c r="Y30" s="263">
        <v>2</v>
      </c>
      <c r="Z30" s="263">
        <v>2</v>
      </c>
      <c r="AA30" s="263">
        <v>2</v>
      </c>
      <c r="AB30" s="263">
        <v>2</v>
      </c>
      <c r="AC30" s="263">
        <v>2</v>
      </c>
      <c r="AD30" s="263">
        <v>2</v>
      </c>
      <c r="AE30" s="263">
        <v>2</v>
      </c>
      <c r="AF30" s="263">
        <v>2</v>
      </c>
      <c r="AG30" s="263"/>
      <c r="AH30" s="263"/>
      <c r="AI30" s="263"/>
      <c r="AJ30" s="263"/>
      <c r="AK30" s="263"/>
      <c r="AL30" s="263"/>
      <c r="AM30" s="263"/>
      <c r="AN30" s="263">
        <v>2</v>
      </c>
      <c r="AO30" s="263">
        <v>2</v>
      </c>
      <c r="AP30" s="263">
        <v>2</v>
      </c>
      <c r="AQ30" s="263">
        <v>2</v>
      </c>
      <c r="AR30" s="263"/>
      <c r="AS30" s="263">
        <v>2</v>
      </c>
      <c r="AT30" s="263">
        <v>2</v>
      </c>
      <c r="AU30" s="296"/>
    </row>
    <row r="31" spans="2:47" s="260" customFormat="1" ht="30" customHeight="1">
      <c r="B31" s="853" t="s">
        <v>41</v>
      </c>
      <c r="C31" s="843" t="s">
        <v>257</v>
      </c>
      <c r="D31" s="843" t="s">
        <v>127</v>
      </c>
      <c r="E31" s="843" t="s">
        <v>138</v>
      </c>
      <c r="F31" s="843" t="s">
        <v>208</v>
      </c>
      <c r="G31" s="843">
        <v>50</v>
      </c>
      <c r="H31" s="843">
        <v>1000</v>
      </c>
      <c r="I31" s="844" t="s">
        <v>206</v>
      </c>
      <c r="J31" s="845"/>
      <c r="K31" s="845"/>
      <c r="L31" s="845"/>
      <c r="M31" s="845"/>
      <c r="N31" s="846"/>
      <c r="O31" s="275">
        <f>SUM(P31:AP31)</f>
        <v>0</v>
      </c>
      <c r="P31" s="266"/>
      <c r="Q31" s="282"/>
      <c r="R31" s="282"/>
      <c r="S31" s="282"/>
      <c r="T31" s="282"/>
      <c r="U31" s="282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8"/>
      <c r="AH31" s="268"/>
      <c r="AI31" s="268"/>
      <c r="AJ31" s="268"/>
      <c r="AK31" s="268"/>
      <c r="AL31" s="268"/>
      <c r="AM31" s="268"/>
      <c r="AN31" s="267"/>
      <c r="AO31" s="267"/>
      <c r="AP31" s="267"/>
      <c r="AQ31" s="267"/>
      <c r="AR31" s="267"/>
      <c r="AS31" s="267"/>
      <c r="AT31" s="269"/>
      <c r="AU31" s="296"/>
    </row>
    <row r="32" spans="2:47" s="260" customFormat="1" ht="30" customHeight="1">
      <c r="B32" s="840"/>
      <c r="C32" s="842"/>
      <c r="D32" s="842"/>
      <c r="E32" s="842"/>
      <c r="F32" s="842"/>
      <c r="G32" s="842"/>
      <c r="H32" s="842"/>
      <c r="I32" s="847" t="s">
        <v>207</v>
      </c>
      <c r="J32" s="848"/>
      <c r="K32" s="848"/>
      <c r="L32" s="848"/>
      <c r="M32" s="848"/>
      <c r="N32" s="849"/>
      <c r="O32" s="270">
        <f>SUM(P32:AQ32)</f>
        <v>40</v>
      </c>
      <c r="P32" s="271"/>
      <c r="Q32" s="272"/>
      <c r="R32" s="272"/>
      <c r="S32" s="272"/>
      <c r="T32" s="886">
        <v>40</v>
      </c>
      <c r="U32" s="887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3"/>
      <c r="AH32" s="273"/>
      <c r="AI32" s="273"/>
      <c r="AJ32" s="273"/>
      <c r="AK32" s="273"/>
      <c r="AL32" s="273"/>
      <c r="AM32" s="273"/>
      <c r="AN32" s="272"/>
      <c r="AO32" s="272"/>
      <c r="AP32" s="272"/>
      <c r="AQ32" s="272"/>
      <c r="AR32" s="272"/>
      <c r="AS32" s="272"/>
      <c r="AT32" s="274"/>
      <c r="AU32" s="296"/>
    </row>
    <row r="33" spans="2:47" s="280" customFormat="1" ht="30" customHeight="1">
      <c r="B33" s="839" t="s">
        <v>42</v>
      </c>
      <c r="C33" s="843" t="s">
        <v>258</v>
      </c>
      <c r="D33" s="843" t="s">
        <v>127</v>
      </c>
      <c r="E33" s="843" t="s">
        <v>204</v>
      </c>
      <c r="F33" s="843" t="s">
        <v>205</v>
      </c>
      <c r="G33" s="843">
        <v>35</v>
      </c>
      <c r="H33" s="843">
        <v>500</v>
      </c>
      <c r="I33" s="844" t="s">
        <v>206</v>
      </c>
      <c r="J33" s="845"/>
      <c r="K33" s="845"/>
      <c r="L33" s="845"/>
      <c r="M33" s="845"/>
      <c r="N33" s="846"/>
      <c r="O33" s="275">
        <f t="shared" ref="O33:O40" si="0">SUM(P33:AT33)</f>
        <v>0</v>
      </c>
      <c r="P33" s="281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3"/>
      <c r="AH33" s="283"/>
      <c r="AI33" s="283"/>
      <c r="AJ33" s="283"/>
      <c r="AK33" s="283"/>
      <c r="AL33" s="283"/>
      <c r="AM33" s="283"/>
      <c r="AN33" s="282"/>
      <c r="AO33" s="282"/>
      <c r="AP33" s="282"/>
      <c r="AQ33" s="282"/>
      <c r="AR33" s="282"/>
      <c r="AS33" s="282"/>
      <c r="AT33" s="295"/>
      <c r="AU33" s="313"/>
    </row>
    <row r="34" spans="2:47" s="280" customFormat="1" ht="30" customHeight="1">
      <c r="B34" s="840"/>
      <c r="C34" s="842"/>
      <c r="D34" s="842"/>
      <c r="E34" s="842"/>
      <c r="F34" s="842"/>
      <c r="G34" s="842"/>
      <c r="H34" s="842"/>
      <c r="I34" s="847" t="s">
        <v>207</v>
      </c>
      <c r="J34" s="848"/>
      <c r="K34" s="848"/>
      <c r="L34" s="848"/>
      <c r="M34" s="848"/>
      <c r="N34" s="849"/>
      <c r="O34" s="270">
        <f t="shared" si="0"/>
        <v>180</v>
      </c>
      <c r="P34" s="271"/>
      <c r="Q34" s="272"/>
      <c r="R34" s="272"/>
      <c r="S34" s="272"/>
      <c r="T34" s="886">
        <v>180</v>
      </c>
      <c r="U34" s="887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3"/>
      <c r="AH34" s="273"/>
      <c r="AI34" s="273"/>
      <c r="AJ34" s="273"/>
      <c r="AK34" s="273"/>
      <c r="AL34" s="273"/>
      <c r="AM34" s="273"/>
      <c r="AN34" s="272"/>
      <c r="AO34" s="272"/>
      <c r="AP34" s="272"/>
      <c r="AQ34" s="272"/>
      <c r="AR34" s="272"/>
      <c r="AS34" s="272"/>
      <c r="AT34" s="274"/>
      <c r="AU34" s="313"/>
    </row>
    <row r="35" spans="2:47" s="280" customFormat="1" ht="30" customHeight="1">
      <c r="B35" s="839" t="s">
        <v>43</v>
      </c>
      <c r="C35" s="843" t="s">
        <v>259</v>
      </c>
      <c r="D35" s="843" t="s">
        <v>127</v>
      </c>
      <c r="E35" s="843" t="s">
        <v>204</v>
      </c>
      <c r="F35" s="843" t="s">
        <v>205</v>
      </c>
      <c r="G35" s="843">
        <v>35</v>
      </c>
      <c r="H35" s="843">
        <v>1500</v>
      </c>
      <c r="I35" s="844" t="s">
        <v>206</v>
      </c>
      <c r="J35" s="845"/>
      <c r="K35" s="845"/>
      <c r="L35" s="845"/>
      <c r="M35" s="845"/>
      <c r="N35" s="846"/>
      <c r="O35" s="275">
        <f>SUM(P35:AT35)</f>
        <v>1500</v>
      </c>
      <c r="P35" s="281"/>
      <c r="Q35" s="282"/>
      <c r="R35" s="282"/>
      <c r="S35" s="282"/>
      <c r="T35" s="282"/>
      <c r="U35" s="282">
        <v>160</v>
      </c>
      <c r="V35" s="282">
        <v>220</v>
      </c>
      <c r="W35" s="282">
        <v>280</v>
      </c>
      <c r="X35" s="282">
        <v>280</v>
      </c>
      <c r="Y35" s="282">
        <v>80</v>
      </c>
      <c r="Z35" s="282">
        <v>280</v>
      </c>
      <c r="AA35" s="282">
        <v>200</v>
      </c>
      <c r="AB35" s="282"/>
      <c r="AC35" s="282"/>
      <c r="AD35" s="282"/>
      <c r="AE35" s="282"/>
      <c r="AF35" s="282"/>
      <c r="AG35" s="283"/>
      <c r="AH35" s="283"/>
      <c r="AI35" s="283"/>
      <c r="AJ35" s="283"/>
      <c r="AK35" s="283"/>
      <c r="AL35" s="283"/>
      <c r="AM35" s="283"/>
      <c r="AN35" s="282"/>
      <c r="AO35" s="282"/>
      <c r="AP35" s="282"/>
      <c r="AQ35" s="282"/>
      <c r="AR35" s="282"/>
      <c r="AS35" s="282"/>
      <c r="AT35" s="295"/>
      <c r="AU35" s="313"/>
    </row>
    <row r="36" spans="2:47" s="280" customFormat="1" ht="30" customHeight="1">
      <c r="B36" s="840"/>
      <c r="C36" s="842"/>
      <c r="D36" s="842"/>
      <c r="E36" s="842"/>
      <c r="F36" s="842"/>
      <c r="G36" s="842"/>
      <c r="H36" s="842"/>
      <c r="I36" s="847" t="s">
        <v>207</v>
      </c>
      <c r="J36" s="848"/>
      <c r="K36" s="848"/>
      <c r="L36" s="848"/>
      <c r="M36" s="848"/>
      <c r="N36" s="849"/>
      <c r="O36" s="270">
        <f>SUM(P36:AT36)</f>
        <v>1500</v>
      </c>
      <c r="P36" s="271"/>
      <c r="Q36" s="272"/>
      <c r="R36" s="272"/>
      <c r="S36" s="272"/>
      <c r="T36" s="272"/>
      <c r="U36" s="272">
        <v>80</v>
      </c>
      <c r="V36" s="272">
        <v>140</v>
      </c>
      <c r="W36" s="272">
        <v>240</v>
      </c>
      <c r="X36" s="272">
        <v>80</v>
      </c>
      <c r="Y36" s="272"/>
      <c r="Z36" s="272"/>
      <c r="AA36" s="272"/>
      <c r="AB36" s="272"/>
      <c r="AC36" s="272">
        <v>600</v>
      </c>
      <c r="AD36" s="272">
        <v>300</v>
      </c>
      <c r="AE36" s="272">
        <v>60</v>
      </c>
      <c r="AF36" s="272"/>
      <c r="AG36" s="273"/>
      <c r="AH36" s="273"/>
      <c r="AI36" s="273"/>
      <c r="AJ36" s="273"/>
      <c r="AK36" s="273"/>
      <c r="AL36" s="273"/>
      <c r="AM36" s="273"/>
      <c r="AN36" s="272"/>
      <c r="AO36" s="272"/>
      <c r="AP36" s="272"/>
      <c r="AQ36" s="272"/>
      <c r="AR36" s="272"/>
      <c r="AS36" s="272"/>
      <c r="AT36" s="274"/>
      <c r="AU36" s="313"/>
    </row>
    <row r="37" spans="2:47" s="280" customFormat="1" ht="30.75" customHeight="1">
      <c r="B37" s="839" t="s">
        <v>44</v>
      </c>
      <c r="C37" s="841" t="s">
        <v>260</v>
      </c>
      <c r="D37" s="843" t="s">
        <v>127</v>
      </c>
      <c r="E37" s="843" t="s">
        <v>138</v>
      </c>
      <c r="F37" s="843" t="s">
        <v>208</v>
      </c>
      <c r="G37" s="843">
        <v>50</v>
      </c>
      <c r="H37" s="843">
        <v>1000</v>
      </c>
      <c r="I37" s="844" t="s">
        <v>206</v>
      </c>
      <c r="J37" s="845"/>
      <c r="K37" s="845"/>
      <c r="L37" s="845"/>
      <c r="M37" s="845"/>
      <c r="N37" s="846"/>
      <c r="O37" s="275">
        <f>SUM(P37:AT37)</f>
        <v>1000</v>
      </c>
      <c r="P37" s="478"/>
      <c r="Q37" s="475"/>
      <c r="R37" s="475"/>
      <c r="S37" s="475"/>
      <c r="T37" s="475"/>
      <c r="U37" s="475"/>
      <c r="V37" s="475"/>
      <c r="W37" s="475"/>
      <c r="X37" s="475"/>
      <c r="Y37" s="475">
        <v>140</v>
      </c>
      <c r="Z37" s="475"/>
      <c r="AA37" s="475"/>
      <c r="AB37" s="475">
        <v>240</v>
      </c>
      <c r="AC37" s="475">
        <v>120</v>
      </c>
      <c r="AD37" s="475"/>
      <c r="AE37" s="475"/>
      <c r="AF37" s="475"/>
      <c r="AG37" s="476"/>
      <c r="AH37" s="476"/>
      <c r="AI37" s="476"/>
      <c r="AJ37" s="476"/>
      <c r="AK37" s="476"/>
      <c r="AL37" s="476"/>
      <c r="AM37" s="476"/>
      <c r="AN37" s="475">
        <v>120</v>
      </c>
      <c r="AO37" s="475">
        <v>180</v>
      </c>
      <c r="AP37" s="475">
        <v>200</v>
      </c>
      <c r="AQ37" s="475"/>
      <c r="AR37" s="475"/>
      <c r="AS37" s="475"/>
      <c r="AT37" s="477"/>
      <c r="AU37" s="313"/>
    </row>
    <row r="38" spans="2:47" s="280" customFormat="1" ht="30.75" customHeight="1">
      <c r="B38" s="840"/>
      <c r="C38" s="842"/>
      <c r="D38" s="842"/>
      <c r="E38" s="842"/>
      <c r="F38" s="842"/>
      <c r="G38" s="842"/>
      <c r="H38" s="842"/>
      <c r="I38" s="847" t="s">
        <v>207</v>
      </c>
      <c r="J38" s="848"/>
      <c r="K38" s="848"/>
      <c r="L38" s="848"/>
      <c r="M38" s="848"/>
      <c r="N38" s="849"/>
      <c r="O38" s="270">
        <f>SUM(P38:AT38)</f>
        <v>1000</v>
      </c>
      <c r="P38" s="271"/>
      <c r="Q38" s="272"/>
      <c r="R38" s="272"/>
      <c r="S38" s="272"/>
      <c r="T38" s="272"/>
      <c r="U38" s="272"/>
      <c r="V38" s="272"/>
      <c r="W38" s="272"/>
      <c r="X38" s="272"/>
      <c r="Y38" s="272">
        <v>140</v>
      </c>
      <c r="Z38" s="272"/>
      <c r="AA38" s="272"/>
      <c r="AB38" s="272"/>
      <c r="AC38" s="272"/>
      <c r="AD38" s="272">
        <v>360</v>
      </c>
      <c r="AE38" s="272"/>
      <c r="AF38" s="272"/>
      <c r="AG38" s="273"/>
      <c r="AH38" s="273"/>
      <c r="AI38" s="273"/>
      <c r="AJ38" s="273"/>
      <c r="AK38" s="273"/>
      <c r="AL38" s="273"/>
      <c r="AM38" s="273"/>
      <c r="AN38" s="272">
        <v>80</v>
      </c>
      <c r="AO38" s="272">
        <v>180</v>
      </c>
      <c r="AP38" s="272">
        <v>240</v>
      </c>
      <c r="AQ38" s="272"/>
      <c r="AR38" s="272"/>
      <c r="AS38" s="272"/>
      <c r="AT38" s="274"/>
      <c r="AU38" s="313"/>
    </row>
    <row r="39" spans="2:47" s="280" customFormat="1" ht="30.75" customHeight="1">
      <c r="B39" s="839" t="s">
        <v>45</v>
      </c>
      <c r="C39" s="843" t="s">
        <v>261</v>
      </c>
      <c r="D39" s="843" t="s">
        <v>127</v>
      </c>
      <c r="E39" s="843" t="s">
        <v>136</v>
      </c>
      <c r="F39" s="843" t="s">
        <v>205</v>
      </c>
      <c r="G39" s="843">
        <v>35</v>
      </c>
      <c r="H39" s="843">
        <v>2000</v>
      </c>
      <c r="I39" s="844" t="s">
        <v>206</v>
      </c>
      <c r="J39" s="845"/>
      <c r="K39" s="845"/>
      <c r="L39" s="845"/>
      <c r="M39" s="845"/>
      <c r="N39" s="846"/>
      <c r="O39" s="275">
        <f>SUM(P39:AT39)</f>
        <v>840</v>
      </c>
      <c r="P39" s="314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3"/>
      <c r="AH39" s="283"/>
      <c r="AI39" s="283"/>
      <c r="AJ39" s="283"/>
      <c r="AK39" s="283"/>
      <c r="AL39" s="283"/>
      <c r="AM39" s="283"/>
      <c r="AN39" s="277"/>
      <c r="AO39" s="277"/>
      <c r="AP39" s="277"/>
      <c r="AQ39" s="277">
        <v>280</v>
      </c>
      <c r="AR39" s="277"/>
      <c r="AS39" s="277">
        <v>280</v>
      </c>
      <c r="AT39" s="279">
        <v>280</v>
      </c>
      <c r="AU39" s="313"/>
    </row>
    <row r="40" spans="2:47" s="280" customFormat="1" ht="30.75" customHeight="1" thickBot="1">
      <c r="B40" s="840"/>
      <c r="C40" s="842"/>
      <c r="D40" s="842"/>
      <c r="E40" s="842"/>
      <c r="F40" s="842"/>
      <c r="G40" s="842"/>
      <c r="H40" s="842"/>
      <c r="I40" s="847" t="s">
        <v>207</v>
      </c>
      <c r="J40" s="848"/>
      <c r="K40" s="848"/>
      <c r="L40" s="848"/>
      <c r="M40" s="848"/>
      <c r="N40" s="849"/>
      <c r="O40" s="270">
        <f t="shared" si="0"/>
        <v>840</v>
      </c>
      <c r="P40" s="315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73"/>
      <c r="AH40" s="273"/>
      <c r="AI40" s="273"/>
      <c r="AJ40" s="273"/>
      <c r="AK40" s="273"/>
      <c r="AL40" s="273"/>
      <c r="AM40" s="273"/>
      <c r="AN40" s="298"/>
      <c r="AO40" s="298"/>
      <c r="AP40" s="298"/>
      <c r="AQ40" s="298">
        <v>280</v>
      </c>
      <c r="AR40" s="298"/>
      <c r="AS40" s="298">
        <v>280</v>
      </c>
      <c r="AT40" s="299">
        <v>280</v>
      </c>
      <c r="AU40" s="313"/>
    </row>
    <row r="41" spans="2:47" s="260" customFormat="1" ht="18.75" hidden="1" customHeight="1">
      <c r="B41" s="288"/>
      <c r="C41" s="289"/>
      <c r="D41" s="289"/>
      <c r="E41" s="289"/>
      <c r="F41" s="289"/>
      <c r="G41" s="289"/>
      <c r="H41" s="289"/>
      <c r="I41" s="290"/>
      <c r="J41" s="290"/>
      <c r="K41" s="291"/>
      <c r="L41" s="291"/>
      <c r="M41" s="292"/>
      <c r="N41" s="293"/>
      <c r="O41" s="294"/>
      <c r="P41" s="297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9"/>
      <c r="AU41" s="296"/>
    </row>
    <row r="42" spans="2:47" s="260" customFormat="1" ht="18.75" hidden="1" customHeight="1">
      <c r="B42" s="288"/>
      <c r="C42" s="289"/>
      <c r="D42" s="289"/>
      <c r="E42" s="289"/>
      <c r="F42" s="289"/>
      <c r="G42" s="289"/>
      <c r="H42" s="289"/>
      <c r="I42" s="290"/>
      <c r="J42" s="290"/>
      <c r="K42" s="291"/>
      <c r="L42" s="291"/>
      <c r="M42" s="292"/>
      <c r="N42" s="293"/>
      <c r="O42" s="294"/>
      <c r="P42" s="297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8"/>
      <c r="AR42" s="298"/>
      <c r="AS42" s="298"/>
      <c r="AT42" s="299"/>
      <c r="AU42" s="296"/>
    </row>
    <row r="43" spans="2:47" s="260" customFormat="1" ht="18.75" hidden="1" customHeight="1">
      <c r="B43" s="288"/>
      <c r="C43" s="289"/>
      <c r="D43" s="289"/>
      <c r="E43" s="289"/>
      <c r="F43" s="289"/>
      <c r="G43" s="289"/>
      <c r="H43" s="289"/>
      <c r="I43" s="290"/>
      <c r="J43" s="290"/>
      <c r="K43" s="291"/>
      <c r="L43" s="291"/>
      <c r="M43" s="292"/>
      <c r="N43" s="293"/>
      <c r="O43" s="294"/>
      <c r="P43" s="297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9"/>
      <c r="AU43" s="296"/>
    </row>
    <row r="44" spans="2:47" s="260" customFormat="1" ht="18.75" hidden="1" customHeight="1" thickBot="1">
      <c r="B44" s="317"/>
      <c r="C44" s="318"/>
      <c r="D44" s="318"/>
      <c r="E44" s="318"/>
      <c r="F44" s="318"/>
      <c r="G44" s="318"/>
      <c r="H44" s="318"/>
      <c r="I44" s="319"/>
      <c r="J44" s="319"/>
      <c r="K44" s="320"/>
      <c r="L44" s="320"/>
      <c r="M44" s="321"/>
      <c r="N44" s="322"/>
      <c r="O44" s="323"/>
      <c r="P44" s="285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6"/>
      <c r="AO44" s="286"/>
      <c r="AP44" s="286"/>
      <c r="AQ44" s="286"/>
      <c r="AR44" s="286"/>
      <c r="AS44" s="286"/>
      <c r="AT44" s="287"/>
      <c r="AU44" s="296"/>
    </row>
    <row r="45" spans="2:47" s="305" customFormat="1" ht="30" customHeight="1">
      <c r="B45" s="300"/>
      <c r="C45" s="301"/>
      <c r="D45" s="301"/>
      <c r="E45" s="302"/>
      <c r="F45" s="302"/>
      <c r="G45" s="302"/>
      <c r="H45" s="303"/>
      <c r="I45" s="850" t="s">
        <v>206</v>
      </c>
      <c r="J45" s="851"/>
      <c r="K45" s="851"/>
      <c r="L45" s="851"/>
      <c r="M45" s="851"/>
      <c r="N45" s="852"/>
      <c r="O45" s="304">
        <f>SUM(O31,O33,O35,O37)</f>
        <v>2500</v>
      </c>
      <c r="P45" s="324"/>
      <c r="Q45" s="324"/>
      <c r="R45" s="324"/>
      <c r="S45" s="324"/>
      <c r="T45" s="324"/>
      <c r="U45" s="324"/>
      <c r="V45" s="585" t="s">
        <v>217</v>
      </c>
      <c r="W45" s="585"/>
      <c r="X45" s="585"/>
      <c r="Y45" s="585" t="s">
        <v>217</v>
      </c>
      <c r="Z45" s="585"/>
      <c r="AA45" s="585"/>
      <c r="AB45" s="585" t="s">
        <v>286</v>
      </c>
      <c r="AC45" s="585"/>
      <c r="AD45" s="585"/>
      <c r="AE45" s="585"/>
      <c r="AF45" s="585" t="s">
        <v>344</v>
      </c>
      <c r="AG45" s="585"/>
      <c r="AH45" s="585"/>
      <c r="AI45" s="324"/>
      <c r="AJ45" s="324"/>
      <c r="AK45" s="324"/>
      <c r="AL45" s="324"/>
      <c r="AM45" s="324"/>
      <c r="AN45" s="324"/>
      <c r="AO45" s="324"/>
      <c r="AP45" s="585" t="s">
        <v>217</v>
      </c>
      <c r="AQ45" s="586"/>
      <c r="AR45" s="586"/>
      <c r="AS45" s="585" t="s">
        <v>217</v>
      </c>
      <c r="AT45" s="586"/>
      <c r="AU45" s="586"/>
    </row>
    <row r="46" spans="2:47" s="305" customFormat="1" ht="30" customHeight="1" thickBot="1">
      <c r="B46" s="306"/>
      <c r="C46" s="307"/>
      <c r="D46" s="307"/>
      <c r="E46" s="308"/>
      <c r="F46" s="308"/>
      <c r="G46" s="308"/>
      <c r="H46" s="309"/>
      <c r="I46" s="836" t="s">
        <v>207</v>
      </c>
      <c r="J46" s="837"/>
      <c r="K46" s="837"/>
      <c r="L46" s="837"/>
      <c r="M46" s="837"/>
      <c r="N46" s="838"/>
      <c r="O46" s="310">
        <f>SUM(O32,O34,O36,O38)</f>
        <v>2720</v>
      </c>
      <c r="P46" s="326"/>
      <c r="Q46" s="326"/>
      <c r="R46" s="326"/>
      <c r="S46" s="326"/>
      <c r="T46" s="326"/>
      <c r="U46" s="326"/>
      <c r="V46" s="587" t="s">
        <v>323</v>
      </c>
      <c r="W46" s="587"/>
      <c r="X46" s="587"/>
      <c r="Y46" s="587" t="s">
        <v>342</v>
      </c>
      <c r="Z46" s="587"/>
      <c r="AA46" s="587"/>
      <c r="AB46" s="587" t="s">
        <v>287</v>
      </c>
      <c r="AC46" s="587"/>
      <c r="AD46" s="587"/>
      <c r="AE46" s="587"/>
      <c r="AF46" s="675" t="s">
        <v>349</v>
      </c>
      <c r="AG46" s="675"/>
      <c r="AH46" s="675"/>
      <c r="AL46" s="326"/>
      <c r="AM46" s="326"/>
      <c r="AN46" s="326"/>
      <c r="AO46" s="326"/>
      <c r="AP46" s="891">
        <v>540</v>
      </c>
      <c r="AQ46" s="891"/>
      <c r="AR46" s="891"/>
      <c r="AS46" s="891">
        <f>1460-540</f>
        <v>920</v>
      </c>
      <c r="AT46" s="891"/>
      <c r="AU46" s="891"/>
    </row>
    <row r="47" spans="2:47" ht="16.5" customHeight="1">
      <c r="AF47" s="676" t="s">
        <v>343</v>
      </c>
      <c r="AG47" s="677"/>
      <c r="AH47" s="677"/>
      <c r="AI47" s="703"/>
      <c r="AJ47" s="703"/>
      <c r="AK47" s="704"/>
    </row>
    <row r="48" spans="2:47" ht="18" customHeight="1" thickBot="1">
      <c r="D48" s="246" t="s">
        <v>218</v>
      </c>
      <c r="O48" s="248">
        <f>O39+O54</f>
        <v>2000</v>
      </c>
      <c r="AF48" s="678" t="s">
        <v>326</v>
      </c>
      <c r="AG48" s="587"/>
      <c r="AH48" s="587"/>
      <c r="AI48" s="326"/>
      <c r="AJ48" s="326"/>
      <c r="AK48" s="705"/>
    </row>
    <row r="49" spans="2:46" ht="18" customHeight="1">
      <c r="D49" s="247" t="s">
        <v>193</v>
      </c>
      <c r="O49" s="248">
        <f>O40+O55</f>
        <v>2000</v>
      </c>
      <c r="S49" s="248"/>
      <c r="V49" s="892"/>
      <c r="W49" s="869"/>
    </row>
    <row r="50" spans="2:46" ht="5.25" customHeight="1"/>
    <row r="51" spans="2:46" s="248" customFormat="1" ht="16.5" customHeight="1" thickBot="1">
      <c r="E51" s="249" t="s">
        <v>194</v>
      </c>
      <c r="F51" s="250">
        <f>I51-N51</f>
        <v>-4</v>
      </c>
      <c r="G51" s="251"/>
      <c r="H51" s="249" t="s">
        <v>195</v>
      </c>
      <c r="I51" s="854">
        <v>19</v>
      </c>
      <c r="J51" s="854"/>
      <c r="K51" s="252"/>
      <c r="M51" s="249" t="s">
        <v>196</v>
      </c>
      <c r="N51" s="855">
        <f>COUNT(P53:AS53)</f>
        <v>23</v>
      </c>
      <c r="O51" s="855"/>
      <c r="P51" s="253" t="s">
        <v>122</v>
      </c>
      <c r="Q51" s="253" t="s">
        <v>121</v>
      </c>
      <c r="R51" s="253" t="s">
        <v>123</v>
      </c>
      <c r="S51" s="253" t="s">
        <v>119</v>
      </c>
      <c r="T51" s="253" t="s">
        <v>119</v>
      </c>
      <c r="U51" s="253" t="s">
        <v>120</v>
      </c>
      <c r="V51" s="253" t="s">
        <v>121</v>
      </c>
      <c r="W51" s="253" t="s">
        <v>122</v>
      </c>
      <c r="X51" s="253" t="s">
        <v>121</v>
      </c>
      <c r="Y51" s="253" t="s">
        <v>123</v>
      </c>
      <c r="Z51" s="253" t="s">
        <v>119</v>
      </c>
      <c r="AA51" s="253" t="s">
        <v>119</v>
      </c>
      <c r="AB51" s="253" t="s">
        <v>120</v>
      </c>
      <c r="AC51" s="253" t="s">
        <v>121</v>
      </c>
      <c r="AD51" s="253" t="s">
        <v>122</v>
      </c>
      <c r="AE51" s="253" t="s">
        <v>121</v>
      </c>
      <c r="AF51" s="253" t="s">
        <v>123</v>
      </c>
      <c r="AG51" s="253" t="s">
        <v>119</v>
      </c>
      <c r="AH51" s="253" t="s">
        <v>119</v>
      </c>
      <c r="AI51" s="253" t="s">
        <v>120</v>
      </c>
      <c r="AJ51" s="253" t="s">
        <v>121</v>
      </c>
      <c r="AK51" s="253" t="s">
        <v>122</v>
      </c>
      <c r="AL51" s="253" t="s">
        <v>121</v>
      </c>
      <c r="AM51" s="253" t="s">
        <v>123</v>
      </c>
      <c r="AN51" s="253" t="s">
        <v>119</v>
      </c>
      <c r="AO51" s="253" t="s">
        <v>119</v>
      </c>
      <c r="AP51" s="253" t="s">
        <v>120</v>
      </c>
      <c r="AQ51" s="253" t="s">
        <v>121</v>
      </c>
      <c r="AR51" s="253" t="s">
        <v>122</v>
      </c>
      <c r="AS51" s="253" t="s">
        <v>121</v>
      </c>
    </row>
    <row r="52" spans="2:46" s="260" customFormat="1" ht="18" customHeight="1" thickBot="1">
      <c r="B52" s="856" t="s">
        <v>115</v>
      </c>
      <c r="C52" s="858" t="s">
        <v>117</v>
      </c>
      <c r="D52" s="858" t="s">
        <v>116</v>
      </c>
      <c r="E52" s="858" t="s">
        <v>197</v>
      </c>
      <c r="F52" s="858"/>
      <c r="G52" s="858"/>
      <c r="H52" s="860" t="s">
        <v>198</v>
      </c>
      <c r="I52" s="861" t="s">
        <v>199</v>
      </c>
      <c r="J52" s="862"/>
      <c r="K52" s="862"/>
      <c r="L52" s="862"/>
      <c r="M52" s="862"/>
      <c r="N52" s="863"/>
      <c r="O52" s="867" t="s">
        <v>200</v>
      </c>
      <c r="P52" s="327">
        <v>1</v>
      </c>
      <c r="Q52" s="255">
        <v>2</v>
      </c>
      <c r="R52" s="257">
        <v>3</v>
      </c>
      <c r="S52" s="256">
        <v>4</v>
      </c>
      <c r="T52" s="257">
        <v>5</v>
      </c>
      <c r="U52" s="256">
        <v>6</v>
      </c>
      <c r="V52" s="255">
        <v>7</v>
      </c>
      <c r="W52" s="255">
        <v>8</v>
      </c>
      <c r="X52" s="255">
        <v>9</v>
      </c>
      <c r="Y52" s="255">
        <v>10</v>
      </c>
      <c r="Z52" s="256">
        <v>11</v>
      </c>
      <c r="AA52" s="257">
        <v>12</v>
      </c>
      <c r="AB52" s="255">
        <v>13</v>
      </c>
      <c r="AC52" s="255">
        <v>14</v>
      </c>
      <c r="AD52" s="255">
        <v>15</v>
      </c>
      <c r="AE52" s="255">
        <v>16</v>
      </c>
      <c r="AF52" s="255">
        <v>17</v>
      </c>
      <c r="AG52" s="256">
        <v>18</v>
      </c>
      <c r="AH52" s="257">
        <v>19</v>
      </c>
      <c r="AI52" s="255">
        <v>20</v>
      </c>
      <c r="AJ52" s="255">
        <v>21</v>
      </c>
      <c r="AK52" s="255">
        <v>22</v>
      </c>
      <c r="AL52" s="255">
        <v>23</v>
      </c>
      <c r="AM52" s="255">
        <v>24</v>
      </c>
      <c r="AN52" s="256">
        <v>25</v>
      </c>
      <c r="AO52" s="257">
        <v>26</v>
      </c>
      <c r="AP52" s="255">
        <v>27</v>
      </c>
      <c r="AQ52" s="255">
        <v>28</v>
      </c>
      <c r="AR52" s="255">
        <v>29</v>
      </c>
      <c r="AS52" s="312">
        <v>30</v>
      </c>
      <c r="AT52" s="296"/>
    </row>
    <row r="53" spans="2:46" s="260" customFormat="1" ht="17.25" customHeight="1" thickBot="1">
      <c r="B53" s="857"/>
      <c r="C53" s="859"/>
      <c r="D53" s="859"/>
      <c r="E53" s="261" t="s">
        <v>201</v>
      </c>
      <c r="F53" s="261" t="s">
        <v>202</v>
      </c>
      <c r="G53" s="261" t="s">
        <v>203</v>
      </c>
      <c r="H53" s="859"/>
      <c r="I53" s="864"/>
      <c r="J53" s="865"/>
      <c r="K53" s="865"/>
      <c r="L53" s="865"/>
      <c r="M53" s="865"/>
      <c r="N53" s="866"/>
      <c r="O53" s="868"/>
      <c r="P53" s="262">
        <v>2</v>
      </c>
      <c r="Q53" s="263">
        <v>2</v>
      </c>
      <c r="R53" s="263"/>
      <c r="S53" s="263"/>
      <c r="T53" s="263"/>
      <c r="U53" s="263"/>
      <c r="V53" s="263">
        <v>2</v>
      </c>
      <c r="W53" s="263">
        <v>2</v>
      </c>
      <c r="X53" s="263">
        <v>2</v>
      </c>
      <c r="Y53" s="263">
        <v>2</v>
      </c>
      <c r="Z53" s="263">
        <v>2</v>
      </c>
      <c r="AA53" s="263"/>
      <c r="AB53" s="263">
        <v>2</v>
      </c>
      <c r="AC53" s="263">
        <v>2</v>
      </c>
      <c r="AD53" s="263">
        <v>2</v>
      </c>
      <c r="AE53" s="263">
        <v>2</v>
      </c>
      <c r="AF53" s="263">
        <v>2</v>
      </c>
      <c r="AG53" s="263">
        <v>2</v>
      </c>
      <c r="AH53" s="263"/>
      <c r="AI53" s="263">
        <v>2</v>
      </c>
      <c r="AJ53" s="263">
        <v>2</v>
      </c>
      <c r="AK53" s="263">
        <v>2</v>
      </c>
      <c r="AL53" s="263">
        <v>2</v>
      </c>
      <c r="AM53" s="263">
        <v>2</v>
      </c>
      <c r="AN53" s="263">
        <v>2</v>
      </c>
      <c r="AO53" s="263"/>
      <c r="AP53" s="263">
        <v>2</v>
      </c>
      <c r="AQ53" s="263">
        <v>2</v>
      </c>
      <c r="AR53" s="263">
        <v>2</v>
      </c>
      <c r="AS53" s="263">
        <v>2</v>
      </c>
      <c r="AT53" s="296"/>
    </row>
    <row r="54" spans="2:46" s="260" customFormat="1" ht="30" customHeight="1">
      <c r="B54" s="853" t="s">
        <v>41</v>
      </c>
      <c r="C54" s="841" t="s">
        <v>260</v>
      </c>
      <c r="D54" s="843" t="s">
        <v>127</v>
      </c>
      <c r="E54" s="843" t="s">
        <v>138</v>
      </c>
      <c r="F54" s="843" t="s">
        <v>208</v>
      </c>
      <c r="G54" s="843">
        <v>50</v>
      </c>
      <c r="H54" s="843">
        <v>1000</v>
      </c>
      <c r="I54" s="844" t="s">
        <v>206</v>
      </c>
      <c r="J54" s="845"/>
      <c r="K54" s="845"/>
      <c r="L54" s="845"/>
      <c r="M54" s="845"/>
      <c r="N54" s="846"/>
      <c r="O54" s="275">
        <f t="shared" ref="O54:O63" si="1">SUM(P54:AS54)</f>
        <v>1160</v>
      </c>
      <c r="P54" s="328">
        <v>280</v>
      </c>
      <c r="Q54" s="329">
        <v>280</v>
      </c>
      <c r="R54" s="330"/>
      <c r="S54" s="330"/>
      <c r="T54" s="330"/>
      <c r="U54" s="330"/>
      <c r="V54" s="329">
        <v>280</v>
      </c>
      <c r="W54" s="329">
        <v>280</v>
      </c>
      <c r="X54" s="329">
        <v>40</v>
      </c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296"/>
    </row>
    <row r="55" spans="2:46" s="260" customFormat="1" ht="30" customHeight="1">
      <c r="B55" s="840"/>
      <c r="C55" s="842"/>
      <c r="D55" s="842"/>
      <c r="E55" s="842"/>
      <c r="F55" s="842"/>
      <c r="G55" s="842"/>
      <c r="H55" s="842"/>
      <c r="I55" s="847" t="s">
        <v>207</v>
      </c>
      <c r="J55" s="848"/>
      <c r="K55" s="848"/>
      <c r="L55" s="848"/>
      <c r="M55" s="848"/>
      <c r="N55" s="849"/>
      <c r="O55" s="270">
        <f t="shared" si="1"/>
        <v>1160</v>
      </c>
      <c r="P55" s="331">
        <v>280</v>
      </c>
      <c r="Q55" s="332">
        <v>280</v>
      </c>
      <c r="R55" s="333"/>
      <c r="S55" s="333"/>
      <c r="T55" s="333"/>
      <c r="U55" s="333"/>
      <c r="V55" s="332">
        <v>280</v>
      </c>
      <c r="W55" s="332">
        <v>280</v>
      </c>
      <c r="X55" s="332">
        <v>40</v>
      </c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32"/>
      <c r="AQ55" s="332"/>
      <c r="AR55" s="332"/>
      <c r="AS55" s="332"/>
      <c r="AT55" s="296"/>
    </row>
    <row r="56" spans="2:46" s="280" customFormat="1" ht="30" customHeight="1">
      <c r="B56" s="839" t="s">
        <v>43</v>
      </c>
      <c r="C56" s="491" t="s">
        <v>263</v>
      </c>
      <c r="D56" s="490" t="s">
        <v>127</v>
      </c>
      <c r="E56" s="490" t="s">
        <v>138</v>
      </c>
      <c r="F56" s="490" t="s">
        <v>205</v>
      </c>
      <c r="G56" s="490">
        <v>50</v>
      </c>
      <c r="H56" s="490">
        <v>1000</v>
      </c>
      <c r="I56" s="883" t="s">
        <v>206</v>
      </c>
      <c r="J56" s="884"/>
      <c r="K56" s="884"/>
      <c r="L56" s="884"/>
      <c r="M56" s="884"/>
      <c r="N56" s="885"/>
      <c r="O56" s="275">
        <f t="shared" si="1"/>
        <v>1000</v>
      </c>
      <c r="P56" s="276"/>
      <c r="Q56" s="277"/>
      <c r="R56" s="278"/>
      <c r="S56" s="278"/>
      <c r="T56" s="278"/>
      <c r="U56" s="278"/>
      <c r="V56" s="277"/>
      <c r="W56" s="277"/>
      <c r="X56" s="277">
        <v>200</v>
      </c>
      <c r="Y56" s="277">
        <v>240</v>
      </c>
      <c r="Z56" s="277">
        <v>240</v>
      </c>
      <c r="AA56" s="277"/>
      <c r="AB56" s="277">
        <v>240</v>
      </c>
      <c r="AC56" s="277">
        <v>80</v>
      </c>
      <c r="AD56" s="277"/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277"/>
      <c r="AR56" s="277"/>
      <c r="AS56" s="277"/>
      <c r="AT56" s="313"/>
    </row>
    <row r="57" spans="2:46" s="280" customFormat="1" ht="30" customHeight="1">
      <c r="B57" s="840"/>
      <c r="C57" s="489"/>
      <c r="D57" s="489"/>
      <c r="E57" s="489"/>
      <c r="F57" s="489"/>
      <c r="G57" s="489"/>
      <c r="H57" s="489"/>
      <c r="I57" s="847" t="s">
        <v>207</v>
      </c>
      <c r="J57" s="848"/>
      <c r="K57" s="848"/>
      <c r="L57" s="848"/>
      <c r="M57" s="848"/>
      <c r="N57" s="849"/>
      <c r="O57" s="270">
        <f t="shared" si="1"/>
        <v>1000</v>
      </c>
      <c r="P57" s="331"/>
      <c r="Q57" s="332"/>
      <c r="R57" s="333"/>
      <c r="S57" s="333"/>
      <c r="T57" s="333"/>
      <c r="U57" s="333"/>
      <c r="V57" s="332"/>
      <c r="W57" s="332"/>
      <c r="X57" s="332">
        <v>200</v>
      </c>
      <c r="Y57" s="332">
        <v>240</v>
      </c>
      <c r="Z57" s="332">
        <v>240</v>
      </c>
      <c r="AA57" s="332"/>
      <c r="AB57" s="332">
        <v>240</v>
      </c>
      <c r="AC57" s="332">
        <v>80</v>
      </c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2"/>
      <c r="AQ57" s="332"/>
      <c r="AR57" s="332"/>
      <c r="AS57" s="332"/>
      <c r="AT57" s="313"/>
    </row>
    <row r="58" spans="2:46" s="280" customFormat="1" ht="30" customHeight="1">
      <c r="B58" s="839" t="s">
        <v>44</v>
      </c>
      <c r="C58" s="491" t="s">
        <v>221</v>
      </c>
      <c r="D58" s="490" t="s">
        <v>127</v>
      </c>
      <c r="E58" s="490" t="s">
        <v>136</v>
      </c>
      <c r="F58" s="490" t="s">
        <v>205</v>
      </c>
      <c r="G58" s="490">
        <v>50</v>
      </c>
      <c r="H58" s="490">
        <v>1000</v>
      </c>
      <c r="I58" s="883" t="s">
        <v>206</v>
      </c>
      <c r="J58" s="884"/>
      <c r="K58" s="884"/>
      <c r="L58" s="884"/>
      <c r="M58" s="884"/>
      <c r="N58" s="885"/>
      <c r="O58" s="275">
        <f t="shared" si="1"/>
        <v>1000</v>
      </c>
      <c r="P58" s="276"/>
      <c r="Q58" s="277"/>
      <c r="R58" s="278"/>
      <c r="S58" s="278"/>
      <c r="T58" s="278"/>
      <c r="U58" s="278"/>
      <c r="V58" s="277"/>
      <c r="W58" s="277"/>
      <c r="X58" s="277"/>
      <c r="Y58" s="277"/>
      <c r="Z58" s="277"/>
      <c r="AA58" s="277"/>
      <c r="AB58" s="277">
        <v>160</v>
      </c>
      <c r="AC58" s="277">
        <v>240</v>
      </c>
      <c r="AD58" s="277">
        <v>240</v>
      </c>
      <c r="AE58" s="277">
        <v>240</v>
      </c>
      <c r="AF58" s="277">
        <v>120</v>
      </c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313"/>
    </row>
    <row r="59" spans="2:46" s="280" customFormat="1" ht="30" customHeight="1">
      <c r="B59" s="840"/>
      <c r="C59" s="489"/>
      <c r="D59" s="489"/>
      <c r="E59" s="489"/>
      <c r="F59" s="489"/>
      <c r="G59" s="489"/>
      <c r="H59" s="489"/>
      <c r="I59" s="847" t="s">
        <v>207</v>
      </c>
      <c r="J59" s="848"/>
      <c r="K59" s="848"/>
      <c r="L59" s="848"/>
      <c r="M59" s="848"/>
      <c r="N59" s="849"/>
      <c r="O59" s="270">
        <f t="shared" si="1"/>
        <v>1000</v>
      </c>
      <c r="P59" s="331"/>
      <c r="Q59" s="332"/>
      <c r="R59" s="333"/>
      <c r="S59" s="333"/>
      <c r="T59" s="333"/>
      <c r="U59" s="333"/>
      <c r="V59" s="332"/>
      <c r="W59" s="332"/>
      <c r="X59" s="332"/>
      <c r="Y59" s="332"/>
      <c r="Z59" s="332"/>
      <c r="AA59" s="332"/>
      <c r="AB59" s="332"/>
      <c r="AC59" s="332">
        <v>180</v>
      </c>
      <c r="AD59" s="332">
        <v>240</v>
      </c>
      <c r="AE59" s="332">
        <v>240</v>
      </c>
      <c r="AF59" s="332">
        <v>240</v>
      </c>
      <c r="AG59" s="332">
        <v>100</v>
      </c>
      <c r="AH59" s="332"/>
      <c r="AI59" s="332"/>
      <c r="AJ59" s="332"/>
      <c r="AK59" s="332"/>
      <c r="AL59" s="332"/>
      <c r="AM59" s="332"/>
      <c r="AN59" s="332"/>
      <c r="AO59" s="332"/>
      <c r="AP59" s="332"/>
      <c r="AQ59" s="332"/>
      <c r="AR59" s="332"/>
      <c r="AS59" s="332"/>
      <c r="AT59" s="313"/>
    </row>
    <row r="60" spans="2:46" s="280" customFormat="1" ht="30" customHeight="1">
      <c r="B60" s="839" t="s">
        <v>45</v>
      </c>
      <c r="C60" s="491" t="s">
        <v>222</v>
      </c>
      <c r="D60" s="490" t="s">
        <v>127</v>
      </c>
      <c r="E60" s="490" t="s">
        <v>138</v>
      </c>
      <c r="F60" s="490" t="s">
        <v>205</v>
      </c>
      <c r="G60" s="490">
        <v>35</v>
      </c>
      <c r="H60" s="490">
        <v>2000</v>
      </c>
      <c r="I60" s="883" t="s">
        <v>206</v>
      </c>
      <c r="J60" s="884"/>
      <c r="K60" s="884"/>
      <c r="L60" s="884"/>
      <c r="M60" s="884"/>
      <c r="N60" s="885"/>
      <c r="O60" s="275">
        <f t="shared" si="1"/>
        <v>2000</v>
      </c>
      <c r="P60" s="314"/>
      <c r="Q60" s="277"/>
      <c r="R60" s="278"/>
      <c r="S60" s="278"/>
      <c r="T60" s="278"/>
      <c r="U60" s="278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>
        <v>120</v>
      </c>
      <c r="AG60" s="277">
        <v>280</v>
      </c>
      <c r="AH60" s="277"/>
      <c r="AI60" s="277">
        <v>280</v>
      </c>
      <c r="AJ60" s="277">
        <v>280</v>
      </c>
      <c r="AK60" s="277">
        <v>280</v>
      </c>
      <c r="AL60" s="277">
        <v>280</v>
      </c>
      <c r="AM60" s="277">
        <v>280</v>
      </c>
      <c r="AN60" s="277">
        <v>200</v>
      </c>
      <c r="AO60" s="277"/>
      <c r="AP60" s="277"/>
      <c r="AQ60" s="277"/>
      <c r="AR60" s="277"/>
      <c r="AS60" s="277"/>
      <c r="AT60" s="313"/>
    </row>
    <row r="61" spans="2:46" s="280" customFormat="1" ht="30" customHeight="1">
      <c r="B61" s="840"/>
      <c r="C61" s="489"/>
      <c r="D61" s="489"/>
      <c r="E61" s="489"/>
      <c r="F61" s="489"/>
      <c r="G61" s="489"/>
      <c r="H61" s="489"/>
      <c r="I61" s="847" t="s">
        <v>207</v>
      </c>
      <c r="J61" s="848"/>
      <c r="K61" s="848"/>
      <c r="L61" s="848"/>
      <c r="M61" s="848"/>
      <c r="N61" s="849"/>
      <c r="O61" s="270">
        <f t="shared" si="1"/>
        <v>2000</v>
      </c>
      <c r="P61" s="331"/>
      <c r="Q61" s="332"/>
      <c r="R61" s="333"/>
      <c r="S61" s="333"/>
      <c r="T61" s="333"/>
      <c r="U61" s="333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>
        <v>120</v>
      </c>
      <c r="AH61" s="332"/>
      <c r="AI61" s="332">
        <v>280</v>
      </c>
      <c r="AJ61" s="332">
        <v>280</v>
      </c>
      <c r="AK61" s="332">
        <v>280</v>
      </c>
      <c r="AL61" s="332">
        <v>280</v>
      </c>
      <c r="AM61" s="332">
        <v>280</v>
      </c>
      <c r="AN61" s="332">
        <v>280</v>
      </c>
      <c r="AO61" s="332"/>
      <c r="AP61" s="332">
        <v>200</v>
      </c>
      <c r="AQ61" s="332"/>
      <c r="AR61" s="332"/>
      <c r="AS61" s="517"/>
      <c r="AT61" s="313"/>
    </row>
    <row r="62" spans="2:46" s="260" customFormat="1" ht="30" customHeight="1">
      <c r="B62" s="839" t="s">
        <v>46</v>
      </c>
      <c r="C62" s="841" t="s">
        <v>223</v>
      </c>
      <c r="D62" s="843" t="s">
        <v>127</v>
      </c>
      <c r="E62" s="843" t="s">
        <v>138</v>
      </c>
      <c r="F62" s="843" t="s">
        <v>205</v>
      </c>
      <c r="G62" s="843">
        <v>50</v>
      </c>
      <c r="H62" s="843">
        <v>2000</v>
      </c>
      <c r="I62" s="844" t="s">
        <v>206</v>
      </c>
      <c r="J62" s="845"/>
      <c r="K62" s="845"/>
      <c r="L62" s="845"/>
      <c r="M62" s="845"/>
      <c r="N62" s="846"/>
      <c r="O62" s="275">
        <f t="shared" si="1"/>
        <v>1040</v>
      </c>
      <c r="P62" s="314"/>
      <c r="Q62" s="277"/>
      <c r="R62" s="278"/>
      <c r="S62" s="278"/>
      <c r="T62" s="278"/>
      <c r="U62" s="278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>
        <v>200</v>
      </c>
      <c r="AQ62" s="277">
        <v>280</v>
      </c>
      <c r="AR62" s="277">
        <v>280</v>
      </c>
      <c r="AS62" s="279">
        <v>280</v>
      </c>
      <c r="AT62" s="296"/>
    </row>
    <row r="63" spans="2:46" s="260" customFormat="1" ht="30" customHeight="1" thickBot="1">
      <c r="B63" s="840"/>
      <c r="C63" s="842"/>
      <c r="D63" s="842"/>
      <c r="E63" s="842"/>
      <c r="F63" s="842"/>
      <c r="G63" s="842"/>
      <c r="H63" s="842"/>
      <c r="I63" s="847" t="s">
        <v>207</v>
      </c>
      <c r="J63" s="848"/>
      <c r="K63" s="848"/>
      <c r="L63" s="848"/>
      <c r="M63" s="848"/>
      <c r="N63" s="849"/>
      <c r="O63" s="270">
        <f t="shared" si="1"/>
        <v>920</v>
      </c>
      <c r="P63" s="315"/>
      <c r="Q63" s="298"/>
      <c r="R63" s="316"/>
      <c r="S63" s="316"/>
      <c r="T63" s="316"/>
      <c r="U63" s="316"/>
      <c r="V63" s="298"/>
      <c r="W63" s="298"/>
      <c r="X63" s="298"/>
      <c r="Y63" s="298"/>
      <c r="Z63" s="298"/>
      <c r="AA63" s="298"/>
      <c r="AB63" s="298"/>
      <c r="AC63" s="298"/>
      <c r="AD63" s="298"/>
      <c r="AE63" s="298"/>
      <c r="AF63" s="298"/>
      <c r="AG63" s="298"/>
      <c r="AH63" s="298"/>
      <c r="AI63" s="298"/>
      <c r="AJ63" s="298"/>
      <c r="AK63" s="298"/>
      <c r="AL63" s="298"/>
      <c r="AM63" s="298"/>
      <c r="AN63" s="298"/>
      <c r="AO63" s="298"/>
      <c r="AP63" s="298">
        <v>80</v>
      </c>
      <c r="AQ63" s="298">
        <v>280</v>
      </c>
      <c r="AR63" s="298">
        <v>280</v>
      </c>
      <c r="AS63" s="299">
        <v>280</v>
      </c>
      <c r="AT63" s="296"/>
    </row>
    <row r="64" spans="2:46" s="260" customFormat="1" ht="30" hidden="1" customHeight="1">
      <c r="B64" s="288"/>
      <c r="C64" s="289"/>
      <c r="D64" s="289"/>
      <c r="E64" s="289"/>
      <c r="F64" s="289"/>
      <c r="G64" s="289"/>
      <c r="H64" s="289"/>
      <c r="I64" s="290"/>
      <c r="J64" s="290"/>
      <c r="K64" s="291"/>
      <c r="L64" s="291"/>
      <c r="M64" s="292"/>
      <c r="N64" s="293"/>
      <c r="O64" s="294"/>
      <c r="P64" s="297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8"/>
      <c r="AR64" s="298"/>
      <c r="AS64" s="299"/>
      <c r="AT64" s="296"/>
    </row>
    <row r="65" spans="2:46" s="260" customFormat="1" ht="30" hidden="1" customHeight="1" thickBot="1">
      <c r="B65" s="317"/>
      <c r="C65" s="318"/>
      <c r="D65" s="318"/>
      <c r="E65" s="318"/>
      <c r="F65" s="318"/>
      <c r="G65" s="318"/>
      <c r="H65" s="318"/>
      <c r="I65" s="319"/>
      <c r="J65" s="319"/>
      <c r="K65" s="320"/>
      <c r="L65" s="320"/>
      <c r="M65" s="321"/>
      <c r="N65" s="322"/>
      <c r="O65" s="323"/>
      <c r="P65" s="285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7"/>
      <c r="AT65" s="296"/>
    </row>
    <row r="66" spans="2:46" s="305" customFormat="1" ht="30" customHeight="1">
      <c r="B66" s="300"/>
      <c r="C66" s="301"/>
      <c r="D66" s="301"/>
      <c r="E66" s="302"/>
      <c r="F66" s="302"/>
      <c r="G66" s="302"/>
      <c r="H66" s="303"/>
      <c r="I66" s="850" t="s">
        <v>206</v>
      </c>
      <c r="J66" s="851"/>
      <c r="K66" s="851"/>
      <c r="L66" s="851"/>
      <c r="M66" s="851"/>
      <c r="N66" s="852"/>
      <c r="O66" s="304">
        <f>SUM(O54,O56,O58,O60)</f>
        <v>5160</v>
      </c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4"/>
      <c r="AP66" s="324"/>
      <c r="AQ66" s="324"/>
      <c r="AR66" s="324"/>
      <c r="AS66" s="324"/>
      <c r="AT66" s="325"/>
    </row>
    <row r="67" spans="2:46" s="305" customFormat="1" ht="30" customHeight="1" thickBot="1">
      <c r="B67" s="306"/>
      <c r="C67" s="307"/>
      <c r="D67" s="307"/>
      <c r="E67" s="308"/>
      <c r="F67" s="308"/>
      <c r="G67" s="308"/>
      <c r="H67" s="309"/>
      <c r="I67" s="836" t="s">
        <v>207</v>
      </c>
      <c r="J67" s="837"/>
      <c r="K67" s="837"/>
      <c r="L67" s="837"/>
      <c r="M67" s="837"/>
      <c r="N67" s="838"/>
      <c r="O67" s="310">
        <f>SUM(O55,O57,O59,O61)</f>
        <v>5160</v>
      </c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  <c r="AT67" s="325"/>
    </row>
    <row r="68" spans="2:46" ht="27.75" customHeight="1">
      <c r="D68" s="246" t="s">
        <v>224</v>
      </c>
    </row>
    <row r="69" spans="2:46" ht="18" customHeight="1">
      <c r="D69" s="247" t="s">
        <v>193</v>
      </c>
      <c r="V69" s="869"/>
      <c r="W69" s="869"/>
    </row>
    <row r="70" spans="2:46" ht="5.25" customHeight="1"/>
    <row r="71" spans="2:46" s="248" customFormat="1" ht="16.5" customHeight="1" thickBot="1">
      <c r="E71" s="249" t="s">
        <v>194</v>
      </c>
      <c r="F71" s="250">
        <f>I71-N71</f>
        <v>3</v>
      </c>
      <c r="G71" s="251"/>
      <c r="H71" s="249" t="s">
        <v>195</v>
      </c>
      <c r="I71" s="854">
        <v>19</v>
      </c>
      <c r="J71" s="854"/>
      <c r="K71" s="252"/>
      <c r="M71" s="249" t="s">
        <v>196</v>
      </c>
      <c r="N71" s="855">
        <f>COUNT(P73:AS73)</f>
        <v>16</v>
      </c>
      <c r="O71" s="855"/>
      <c r="P71" s="253" t="s">
        <v>123</v>
      </c>
      <c r="Q71" s="253" t="s">
        <v>119</v>
      </c>
      <c r="R71" s="253" t="s">
        <v>119</v>
      </c>
      <c r="S71" s="253" t="s">
        <v>120</v>
      </c>
      <c r="T71" s="253" t="s">
        <v>121</v>
      </c>
      <c r="U71" s="253" t="s">
        <v>122</v>
      </c>
      <c r="V71" s="253" t="s">
        <v>121</v>
      </c>
      <c r="W71" s="253" t="s">
        <v>123</v>
      </c>
      <c r="X71" s="253" t="s">
        <v>119</v>
      </c>
      <c r="Y71" s="253" t="s">
        <v>119</v>
      </c>
      <c r="Z71" s="253" t="s">
        <v>120</v>
      </c>
      <c r="AA71" s="253" t="s">
        <v>121</v>
      </c>
      <c r="AB71" s="253" t="s">
        <v>122</v>
      </c>
      <c r="AC71" s="253" t="s">
        <v>121</v>
      </c>
      <c r="AD71" s="253" t="s">
        <v>123</v>
      </c>
      <c r="AE71" s="253" t="s">
        <v>119</v>
      </c>
      <c r="AF71" s="253" t="s">
        <v>119</v>
      </c>
      <c r="AG71" s="253" t="s">
        <v>120</v>
      </c>
      <c r="AH71" s="253" t="s">
        <v>121</v>
      </c>
      <c r="AI71" s="253" t="s">
        <v>122</v>
      </c>
      <c r="AJ71" s="253" t="s">
        <v>121</v>
      </c>
      <c r="AK71" s="253" t="s">
        <v>123</v>
      </c>
      <c r="AL71" s="253" t="s">
        <v>119</v>
      </c>
      <c r="AM71" s="253" t="s">
        <v>119</v>
      </c>
      <c r="AN71" s="253" t="s">
        <v>120</v>
      </c>
      <c r="AO71" s="253" t="s">
        <v>121</v>
      </c>
      <c r="AP71" s="253" t="s">
        <v>122</v>
      </c>
      <c r="AQ71" s="253" t="s">
        <v>121</v>
      </c>
      <c r="AR71" s="253" t="s">
        <v>123</v>
      </c>
      <c r="AS71" s="253" t="s">
        <v>119</v>
      </c>
      <c r="AT71" s="253" t="s">
        <v>119</v>
      </c>
    </row>
    <row r="72" spans="2:46" s="260" customFormat="1" ht="18" customHeight="1" thickBot="1">
      <c r="B72" s="856" t="s">
        <v>115</v>
      </c>
      <c r="C72" s="858" t="s">
        <v>117</v>
      </c>
      <c r="D72" s="858" t="s">
        <v>116</v>
      </c>
      <c r="E72" s="858" t="s">
        <v>197</v>
      </c>
      <c r="F72" s="858"/>
      <c r="G72" s="858"/>
      <c r="H72" s="860" t="s">
        <v>198</v>
      </c>
      <c r="I72" s="861" t="s">
        <v>199</v>
      </c>
      <c r="J72" s="862"/>
      <c r="K72" s="862"/>
      <c r="L72" s="862"/>
      <c r="M72" s="862"/>
      <c r="N72" s="863"/>
      <c r="O72" s="867" t="s">
        <v>200</v>
      </c>
      <c r="P72" s="327">
        <v>1</v>
      </c>
      <c r="Q72" s="256">
        <v>2</v>
      </c>
      <c r="R72" s="257">
        <v>3</v>
      </c>
      <c r="S72" s="255">
        <v>4</v>
      </c>
      <c r="T72" s="255">
        <v>5</v>
      </c>
      <c r="U72" s="255">
        <v>6</v>
      </c>
      <c r="V72" s="255">
        <v>7</v>
      </c>
      <c r="W72" s="255">
        <v>8</v>
      </c>
      <c r="X72" s="256">
        <v>9</v>
      </c>
      <c r="Y72" s="257">
        <v>10</v>
      </c>
      <c r="Z72" s="255">
        <v>11</v>
      </c>
      <c r="AA72" s="255">
        <v>12</v>
      </c>
      <c r="AB72" s="255">
        <v>13</v>
      </c>
      <c r="AC72" s="255">
        <v>14</v>
      </c>
      <c r="AD72" s="255">
        <v>15</v>
      </c>
      <c r="AE72" s="256">
        <v>16</v>
      </c>
      <c r="AF72" s="257">
        <v>17</v>
      </c>
      <c r="AG72" s="255">
        <v>18</v>
      </c>
      <c r="AH72" s="255">
        <v>19</v>
      </c>
      <c r="AI72" s="255">
        <v>20</v>
      </c>
      <c r="AJ72" s="255">
        <v>21</v>
      </c>
      <c r="AK72" s="255">
        <v>22</v>
      </c>
      <c r="AL72" s="256">
        <v>23</v>
      </c>
      <c r="AM72" s="257">
        <v>24</v>
      </c>
      <c r="AN72" s="255">
        <v>25</v>
      </c>
      <c r="AO72" s="255">
        <v>26</v>
      </c>
      <c r="AP72" s="255">
        <v>27</v>
      </c>
      <c r="AQ72" s="255">
        <v>28</v>
      </c>
      <c r="AR72" s="255">
        <v>29</v>
      </c>
      <c r="AS72" s="256">
        <v>30</v>
      </c>
      <c r="AT72" s="257">
        <v>31</v>
      </c>
    </row>
    <row r="73" spans="2:46" s="260" customFormat="1" ht="17.25" customHeight="1" thickBot="1">
      <c r="B73" s="857"/>
      <c r="C73" s="859"/>
      <c r="D73" s="859"/>
      <c r="E73" s="261" t="s">
        <v>201</v>
      </c>
      <c r="F73" s="261" t="s">
        <v>202</v>
      </c>
      <c r="G73" s="261" t="s">
        <v>203</v>
      </c>
      <c r="H73" s="859"/>
      <c r="I73" s="864"/>
      <c r="J73" s="865"/>
      <c r="K73" s="865"/>
      <c r="L73" s="865"/>
      <c r="M73" s="865"/>
      <c r="N73" s="866"/>
      <c r="O73" s="868"/>
      <c r="P73" s="262">
        <v>2</v>
      </c>
      <c r="Q73" s="263">
        <v>2</v>
      </c>
      <c r="R73" s="263"/>
      <c r="S73" s="263">
        <v>2</v>
      </c>
      <c r="T73" s="263">
        <v>2</v>
      </c>
      <c r="U73" s="263">
        <v>2</v>
      </c>
      <c r="V73" s="263">
        <v>2</v>
      </c>
      <c r="W73" s="263">
        <v>2</v>
      </c>
      <c r="X73" s="263">
        <v>2</v>
      </c>
      <c r="Y73" s="263"/>
      <c r="Z73" s="263">
        <v>2</v>
      </c>
      <c r="AA73" s="263">
        <v>2</v>
      </c>
      <c r="AB73" s="263">
        <v>2</v>
      </c>
      <c r="AC73" s="263">
        <v>2</v>
      </c>
      <c r="AD73" s="263">
        <v>2</v>
      </c>
      <c r="AE73" s="263">
        <v>2</v>
      </c>
      <c r="AF73" s="263"/>
      <c r="AG73" s="263">
        <v>2</v>
      </c>
      <c r="AH73" s="263">
        <v>2</v>
      </c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</row>
    <row r="74" spans="2:46" s="260" customFormat="1" ht="30" customHeight="1">
      <c r="B74" s="853" t="s">
        <v>41</v>
      </c>
      <c r="C74" s="491" t="s">
        <v>223</v>
      </c>
      <c r="D74" s="490" t="s">
        <v>127</v>
      </c>
      <c r="E74" s="490" t="s">
        <v>138</v>
      </c>
      <c r="F74" s="490" t="s">
        <v>205</v>
      </c>
      <c r="G74" s="490">
        <v>50</v>
      </c>
      <c r="H74" s="490">
        <v>2000</v>
      </c>
      <c r="I74" s="888" t="s">
        <v>206</v>
      </c>
      <c r="J74" s="889"/>
      <c r="K74" s="889"/>
      <c r="L74" s="889"/>
      <c r="M74" s="889"/>
      <c r="N74" s="890"/>
      <c r="O74" s="275">
        <f t="shared" ref="O74:O79" si="2">SUM(P74:AS74)</f>
        <v>960</v>
      </c>
      <c r="P74" s="328">
        <v>240</v>
      </c>
      <c r="Q74" s="329">
        <v>240</v>
      </c>
      <c r="R74" s="329"/>
      <c r="S74" s="329">
        <v>240</v>
      </c>
      <c r="T74" s="329">
        <v>240</v>
      </c>
      <c r="U74" s="329"/>
      <c r="V74" s="329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329"/>
      <c r="AQ74" s="329"/>
      <c r="AR74" s="329"/>
      <c r="AS74" s="329"/>
      <c r="AT74" s="518"/>
    </row>
    <row r="75" spans="2:46" s="260" customFormat="1" ht="30" customHeight="1">
      <c r="B75" s="840"/>
      <c r="C75" s="489"/>
      <c r="D75" s="489"/>
      <c r="E75" s="489"/>
      <c r="F75" s="489"/>
      <c r="G75" s="489"/>
      <c r="H75" s="489"/>
      <c r="I75" s="847" t="s">
        <v>207</v>
      </c>
      <c r="J75" s="848"/>
      <c r="K75" s="848"/>
      <c r="L75" s="848"/>
      <c r="M75" s="848"/>
      <c r="N75" s="849"/>
      <c r="O75" s="270">
        <f t="shared" si="2"/>
        <v>1080</v>
      </c>
      <c r="P75" s="331">
        <v>240</v>
      </c>
      <c r="Q75" s="332">
        <v>240</v>
      </c>
      <c r="R75" s="332"/>
      <c r="S75" s="332">
        <v>240</v>
      </c>
      <c r="T75" s="332">
        <v>240</v>
      </c>
      <c r="U75" s="332">
        <v>120</v>
      </c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32"/>
      <c r="AQ75" s="332"/>
      <c r="AR75" s="332"/>
      <c r="AS75" s="332"/>
      <c r="AT75" s="519"/>
    </row>
    <row r="76" spans="2:46" s="280" customFormat="1" ht="30" customHeight="1">
      <c r="B76" s="839" t="s">
        <v>42</v>
      </c>
      <c r="C76" s="491" t="s">
        <v>225</v>
      </c>
      <c r="D76" s="490" t="s">
        <v>127</v>
      </c>
      <c r="E76" s="490" t="s">
        <v>138</v>
      </c>
      <c r="F76" s="490" t="s">
        <v>205</v>
      </c>
      <c r="G76" s="490">
        <v>50</v>
      </c>
      <c r="H76" s="490">
        <v>1000</v>
      </c>
      <c r="I76" s="883" t="s">
        <v>206</v>
      </c>
      <c r="J76" s="884"/>
      <c r="K76" s="884"/>
      <c r="L76" s="884"/>
      <c r="M76" s="884"/>
      <c r="N76" s="885"/>
      <c r="O76" s="275">
        <f t="shared" si="2"/>
        <v>1000</v>
      </c>
      <c r="P76" s="276"/>
      <c r="Q76" s="277"/>
      <c r="R76" s="277"/>
      <c r="S76" s="277"/>
      <c r="T76" s="277"/>
      <c r="U76" s="277">
        <v>240</v>
      </c>
      <c r="V76" s="277">
        <v>240</v>
      </c>
      <c r="W76" s="277">
        <v>240</v>
      </c>
      <c r="X76" s="277">
        <v>240</v>
      </c>
      <c r="Y76" s="277"/>
      <c r="Z76" s="277">
        <v>40</v>
      </c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520"/>
    </row>
    <row r="77" spans="2:46" s="280" customFormat="1" ht="30" customHeight="1">
      <c r="B77" s="840"/>
      <c r="C77" s="489"/>
      <c r="D77" s="489"/>
      <c r="E77" s="489"/>
      <c r="F77" s="489"/>
      <c r="G77" s="489"/>
      <c r="H77" s="489"/>
      <c r="I77" s="847" t="s">
        <v>207</v>
      </c>
      <c r="J77" s="848"/>
      <c r="K77" s="848"/>
      <c r="L77" s="848"/>
      <c r="M77" s="848"/>
      <c r="N77" s="849"/>
      <c r="O77" s="270">
        <f t="shared" si="2"/>
        <v>1000</v>
      </c>
      <c r="P77" s="331"/>
      <c r="Q77" s="332"/>
      <c r="R77" s="332"/>
      <c r="S77" s="332"/>
      <c r="T77" s="332"/>
      <c r="U77" s="332">
        <v>80</v>
      </c>
      <c r="V77" s="332">
        <v>240</v>
      </c>
      <c r="W77" s="332">
        <v>240</v>
      </c>
      <c r="X77" s="332">
        <v>240</v>
      </c>
      <c r="Y77" s="332"/>
      <c r="Z77" s="332">
        <v>200</v>
      </c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32"/>
      <c r="AQ77" s="332"/>
      <c r="AR77" s="332"/>
      <c r="AS77" s="332"/>
      <c r="AT77" s="519"/>
    </row>
    <row r="78" spans="2:46" s="280" customFormat="1" ht="30" customHeight="1">
      <c r="B78" s="839" t="s">
        <v>43</v>
      </c>
      <c r="C78" s="491" t="s">
        <v>341</v>
      </c>
      <c r="D78" s="490" t="s">
        <v>127</v>
      </c>
      <c r="E78" s="490">
        <v>0</v>
      </c>
      <c r="F78" s="490" t="s">
        <v>205</v>
      </c>
      <c r="G78" s="490">
        <v>110</v>
      </c>
      <c r="H78" s="490">
        <v>1500</v>
      </c>
      <c r="I78" s="883" t="s">
        <v>206</v>
      </c>
      <c r="J78" s="884"/>
      <c r="K78" s="884"/>
      <c r="L78" s="884"/>
      <c r="M78" s="884"/>
      <c r="N78" s="885"/>
      <c r="O78" s="275">
        <f t="shared" si="2"/>
        <v>1500</v>
      </c>
      <c r="P78" s="276"/>
      <c r="Q78" s="277"/>
      <c r="R78" s="277"/>
      <c r="S78" s="277"/>
      <c r="T78" s="277"/>
      <c r="U78" s="277"/>
      <c r="V78" s="277"/>
      <c r="W78" s="277"/>
      <c r="X78" s="277"/>
      <c r="Y78" s="277"/>
      <c r="Z78" s="277">
        <v>160</v>
      </c>
      <c r="AA78" s="277">
        <v>240</v>
      </c>
      <c r="AB78" s="277">
        <v>240</v>
      </c>
      <c r="AC78" s="277">
        <v>240</v>
      </c>
      <c r="AD78" s="277">
        <v>240</v>
      </c>
      <c r="AE78" s="277">
        <v>240</v>
      </c>
      <c r="AF78" s="277"/>
      <c r="AG78" s="277">
        <v>140</v>
      </c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520"/>
    </row>
    <row r="79" spans="2:46" s="280" customFormat="1" ht="30" customHeight="1" thickBot="1">
      <c r="B79" s="840"/>
      <c r="C79" s="489"/>
      <c r="D79" s="489"/>
      <c r="E79" s="489"/>
      <c r="F79" s="489"/>
      <c r="G79" s="489"/>
      <c r="H79" s="489"/>
      <c r="I79" s="847" t="s">
        <v>207</v>
      </c>
      <c r="J79" s="848"/>
      <c r="K79" s="848"/>
      <c r="L79" s="848"/>
      <c r="M79" s="848"/>
      <c r="N79" s="849"/>
      <c r="O79" s="270">
        <f t="shared" si="2"/>
        <v>1500</v>
      </c>
      <c r="P79" s="331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>
        <v>240</v>
      </c>
      <c r="AB79" s="332">
        <v>240</v>
      </c>
      <c r="AC79" s="332">
        <v>240</v>
      </c>
      <c r="AD79" s="332">
        <v>240</v>
      </c>
      <c r="AE79" s="332">
        <v>240</v>
      </c>
      <c r="AF79" s="332"/>
      <c r="AG79" s="332">
        <v>240</v>
      </c>
      <c r="AH79" s="332">
        <v>60</v>
      </c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519"/>
    </row>
    <row r="80" spans="2:46" s="280" customFormat="1" ht="30" hidden="1" customHeight="1">
      <c r="B80" s="839"/>
      <c r="C80" s="841"/>
      <c r="D80" s="843"/>
      <c r="E80" s="843"/>
      <c r="F80" s="843"/>
      <c r="G80" s="843"/>
      <c r="H80" s="843"/>
      <c r="I80" s="844"/>
      <c r="J80" s="845"/>
      <c r="K80" s="845"/>
      <c r="L80" s="845"/>
      <c r="M80" s="845"/>
      <c r="N80" s="846"/>
      <c r="O80" s="275"/>
      <c r="P80" s="276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520"/>
    </row>
    <row r="81" spans="2:46" s="280" customFormat="1" ht="30" hidden="1" customHeight="1">
      <c r="B81" s="840"/>
      <c r="C81" s="842"/>
      <c r="D81" s="842"/>
      <c r="E81" s="842"/>
      <c r="F81" s="842"/>
      <c r="G81" s="842"/>
      <c r="H81" s="842"/>
      <c r="I81" s="847"/>
      <c r="J81" s="848"/>
      <c r="K81" s="848"/>
      <c r="L81" s="848"/>
      <c r="M81" s="848"/>
      <c r="N81" s="849"/>
      <c r="O81" s="270"/>
      <c r="P81" s="331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32"/>
      <c r="AQ81" s="332"/>
      <c r="AR81" s="332"/>
      <c r="AS81" s="332"/>
      <c r="AT81" s="519"/>
    </row>
    <row r="82" spans="2:46" s="280" customFormat="1" ht="30" hidden="1" customHeight="1">
      <c r="B82" s="839"/>
      <c r="C82" s="841"/>
      <c r="D82" s="843"/>
      <c r="E82" s="843"/>
      <c r="F82" s="843"/>
      <c r="G82" s="843"/>
      <c r="H82" s="843"/>
      <c r="I82" s="844"/>
      <c r="J82" s="845"/>
      <c r="K82" s="845"/>
      <c r="L82" s="845"/>
      <c r="M82" s="845"/>
      <c r="N82" s="846"/>
      <c r="O82" s="275"/>
      <c r="P82" s="276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520"/>
    </row>
    <row r="83" spans="2:46" s="280" customFormat="1" ht="30" hidden="1" customHeight="1">
      <c r="B83" s="840"/>
      <c r="C83" s="842"/>
      <c r="D83" s="842"/>
      <c r="E83" s="842"/>
      <c r="F83" s="842"/>
      <c r="G83" s="842"/>
      <c r="H83" s="842"/>
      <c r="I83" s="847"/>
      <c r="J83" s="848"/>
      <c r="K83" s="848"/>
      <c r="L83" s="848"/>
      <c r="M83" s="848"/>
      <c r="N83" s="849"/>
      <c r="O83" s="270"/>
      <c r="P83" s="331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32"/>
      <c r="AQ83" s="332"/>
      <c r="AR83" s="332"/>
      <c r="AS83" s="332"/>
      <c r="AT83" s="519"/>
    </row>
    <row r="84" spans="2:46" s="260" customFormat="1" ht="30" hidden="1" customHeight="1">
      <c r="B84" s="288"/>
      <c r="C84" s="289"/>
      <c r="D84" s="289"/>
      <c r="E84" s="289"/>
      <c r="F84" s="289"/>
      <c r="G84" s="289"/>
      <c r="H84" s="289"/>
      <c r="I84" s="290"/>
      <c r="J84" s="290"/>
      <c r="K84" s="291"/>
      <c r="L84" s="291"/>
      <c r="M84" s="292"/>
      <c r="N84" s="293"/>
      <c r="O84" s="294"/>
      <c r="P84" s="297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298"/>
      <c r="AK84" s="298"/>
      <c r="AL84" s="298"/>
      <c r="AM84" s="298"/>
      <c r="AN84" s="298"/>
      <c r="AO84" s="298"/>
      <c r="AP84" s="298"/>
      <c r="AQ84" s="298"/>
      <c r="AR84" s="298"/>
      <c r="AS84" s="298"/>
      <c r="AT84" s="521"/>
    </row>
    <row r="85" spans="2:46" s="260" customFormat="1" ht="30" hidden="1" customHeight="1">
      <c r="B85" s="288"/>
      <c r="C85" s="289"/>
      <c r="D85" s="289"/>
      <c r="E85" s="289"/>
      <c r="F85" s="289"/>
      <c r="G85" s="289"/>
      <c r="H85" s="289"/>
      <c r="I85" s="290"/>
      <c r="J85" s="290"/>
      <c r="K85" s="291"/>
      <c r="L85" s="291"/>
      <c r="M85" s="292"/>
      <c r="N85" s="293"/>
      <c r="O85" s="294"/>
      <c r="P85" s="297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  <c r="AP85" s="298"/>
      <c r="AQ85" s="298"/>
      <c r="AR85" s="298"/>
      <c r="AS85" s="298"/>
      <c r="AT85" s="521"/>
    </row>
    <row r="86" spans="2:46" s="260" customFormat="1" ht="30" hidden="1" customHeight="1">
      <c r="B86" s="288"/>
      <c r="C86" s="289"/>
      <c r="D86" s="289"/>
      <c r="E86" s="289"/>
      <c r="F86" s="289"/>
      <c r="G86" s="289"/>
      <c r="H86" s="289"/>
      <c r="I86" s="290"/>
      <c r="J86" s="290"/>
      <c r="K86" s="291"/>
      <c r="L86" s="291"/>
      <c r="M86" s="292"/>
      <c r="N86" s="293"/>
      <c r="O86" s="294"/>
      <c r="P86" s="297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8"/>
      <c r="AC86" s="298"/>
      <c r="AD86" s="298"/>
      <c r="AE86" s="298"/>
      <c r="AF86" s="298"/>
      <c r="AG86" s="298"/>
      <c r="AH86" s="298"/>
      <c r="AI86" s="298"/>
      <c r="AJ86" s="298"/>
      <c r="AK86" s="298"/>
      <c r="AL86" s="298"/>
      <c r="AM86" s="298"/>
      <c r="AN86" s="298"/>
      <c r="AO86" s="298"/>
      <c r="AP86" s="298"/>
      <c r="AQ86" s="298"/>
      <c r="AR86" s="298"/>
      <c r="AS86" s="298"/>
      <c r="AT86" s="521"/>
    </row>
    <row r="87" spans="2:46" s="260" customFormat="1" ht="30" hidden="1" customHeight="1" thickBot="1">
      <c r="B87" s="317"/>
      <c r="C87" s="318"/>
      <c r="D87" s="318"/>
      <c r="E87" s="318"/>
      <c r="F87" s="318"/>
      <c r="G87" s="318"/>
      <c r="H87" s="318"/>
      <c r="I87" s="319"/>
      <c r="J87" s="319"/>
      <c r="K87" s="320"/>
      <c r="L87" s="320"/>
      <c r="M87" s="321"/>
      <c r="N87" s="322"/>
      <c r="O87" s="323"/>
      <c r="P87" s="285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522"/>
    </row>
    <row r="88" spans="2:46" s="305" customFormat="1" ht="30" customHeight="1">
      <c r="B88" s="300"/>
      <c r="C88" s="301"/>
      <c r="D88" s="301"/>
      <c r="E88" s="302"/>
      <c r="F88" s="302"/>
      <c r="G88" s="302"/>
      <c r="H88" s="303"/>
      <c r="I88" s="850" t="s">
        <v>206</v>
      </c>
      <c r="J88" s="851"/>
      <c r="K88" s="851"/>
      <c r="L88" s="851"/>
      <c r="M88" s="851"/>
      <c r="N88" s="852"/>
      <c r="O88" s="304">
        <f>SUM(O74,O76,O78,O80,O82)</f>
        <v>3460</v>
      </c>
      <c r="P88" s="324"/>
      <c r="Q88" s="324"/>
      <c r="R88" s="324"/>
      <c r="S88" s="324"/>
      <c r="T88" s="324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24"/>
      <c r="AN88" s="324"/>
      <c r="AO88" s="324"/>
      <c r="AP88" s="324"/>
      <c r="AQ88" s="301"/>
      <c r="AR88" s="301"/>
      <c r="AS88" s="301"/>
      <c r="AT88" s="523"/>
    </row>
    <row r="89" spans="2:46" s="305" customFormat="1" ht="30" customHeight="1" thickBot="1">
      <c r="B89" s="306"/>
      <c r="C89" s="307"/>
      <c r="D89" s="307"/>
      <c r="E89" s="308"/>
      <c r="F89" s="308"/>
      <c r="G89" s="308"/>
      <c r="H89" s="309"/>
      <c r="I89" s="836" t="s">
        <v>207</v>
      </c>
      <c r="J89" s="837"/>
      <c r="K89" s="837"/>
      <c r="L89" s="837"/>
      <c r="M89" s="837"/>
      <c r="N89" s="838"/>
      <c r="O89" s="310">
        <f>SUM(O75,O77,O79,O81,O83)</f>
        <v>3580</v>
      </c>
      <c r="P89" s="326"/>
      <c r="Q89" s="326"/>
      <c r="R89" s="326"/>
      <c r="S89" s="326"/>
      <c r="T89" s="326"/>
      <c r="U89" s="334"/>
      <c r="V89" s="334"/>
      <c r="W89" s="334"/>
      <c r="X89" s="334"/>
      <c r="Y89" s="334"/>
      <c r="Z89" s="334"/>
      <c r="AA89" s="334"/>
      <c r="AB89" s="334"/>
      <c r="AC89" s="334"/>
      <c r="AD89" s="334"/>
      <c r="AE89" s="334"/>
      <c r="AF89" s="334"/>
      <c r="AG89" s="334"/>
      <c r="AH89" s="334"/>
      <c r="AI89" s="334"/>
      <c r="AJ89" s="334"/>
      <c r="AK89" s="334"/>
      <c r="AL89" s="334"/>
      <c r="AM89" s="326"/>
      <c r="AN89" s="326"/>
      <c r="AO89" s="326"/>
      <c r="AP89" s="326"/>
      <c r="AQ89" s="334"/>
      <c r="AR89" s="334"/>
      <c r="AS89" s="334"/>
      <c r="AT89" s="524"/>
    </row>
  </sheetData>
  <mergeCells count="203">
    <mergeCell ref="I83:N83"/>
    <mergeCell ref="I88:N88"/>
    <mergeCell ref="I89:N89"/>
    <mergeCell ref="N2:O2"/>
    <mergeCell ref="I80:N80"/>
    <mergeCell ref="I81:N81"/>
    <mergeCell ref="B82:B83"/>
    <mergeCell ref="C82:C83"/>
    <mergeCell ref="D82:D83"/>
    <mergeCell ref="E82:E83"/>
    <mergeCell ref="F82:F83"/>
    <mergeCell ref="G82:G83"/>
    <mergeCell ref="H82:H83"/>
    <mergeCell ref="I82:N82"/>
    <mergeCell ref="B78:B79"/>
    <mergeCell ref="I78:N78"/>
    <mergeCell ref="I79:N79"/>
    <mergeCell ref="B80:B81"/>
    <mergeCell ref="C80:C81"/>
    <mergeCell ref="D80:D81"/>
    <mergeCell ref="E80:E81"/>
    <mergeCell ref="F80:F81"/>
    <mergeCell ref="G80:G81"/>
    <mergeCell ref="H80:H81"/>
    <mergeCell ref="B74:B75"/>
    <mergeCell ref="I74:N74"/>
    <mergeCell ref="I75:N75"/>
    <mergeCell ref="B76:B77"/>
    <mergeCell ref="I76:N76"/>
    <mergeCell ref="I77:N77"/>
    <mergeCell ref="I71:J71"/>
    <mergeCell ref="N71:O71"/>
    <mergeCell ref="B72:B73"/>
    <mergeCell ref="C72:C73"/>
    <mergeCell ref="D72:D73"/>
    <mergeCell ref="E72:G72"/>
    <mergeCell ref="H72:H73"/>
    <mergeCell ref="I72:N73"/>
    <mergeCell ref="O72:O73"/>
    <mergeCell ref="H62:H63"/>
    <mergeCell ref="I62:N62"/>
    <mergeCell ref="I63:N63"/>
    <mergeCell ref="I66:N66"/>
    <mergeCell ref="I67:N67"/>
    <mergeCell ref="V69:W69"/>
    <mergeCell ref="B62:B63"/>
    <mergeCell ref="C62:C63"/>
    <mergeCell ref="D62:D63"/>
    <mergeCell ref="E62:E63"/>
    <mergeCell ref="F62:F63"/>
    <mergeCell ref="G62:G63"/>
    <mergeCell ref="B58:B59"/>
    <mergeCell ref="I58:N58"/>
    <mergeCell ref="I59:N59"/>
    <mergeCell ref="B60:B61"/>
    <mergeCell ref="I60:N60"/>
    <mergeCell ref="I61:N61"/>
    <mergeCell ref="H54:H55"/>
    <mergeCell ref="I54:N54"/>
    <mergeCell ref="I55:N55"/>
    <mergeCell ref="B56:B57"/>
    <mergeCell ref="I56:N56"/>
    <mergeCell ref="I57:N57"/>
    <mergeCell ref="B54:B55"/>
    <mergeCell ref="C54:C55"/>
    <mergeCell ref="D54:D55"/>
    <mergeCell ref="E54:E55"/>
    <mergeCell ref="F54:F55"/>
    <mergeCell ref="G54:G55"/>
    <mergeCell ref="I51:J51"/>
    <mergeCell ref="N51:O51"/>
    <mergeCell ref="B52:B53"/>
    <mergeCell ref="C52:C53"/>
    <mergeCell ref="D52:D53"/>
    <mergeCell ref="E52:G52"/>
    <mergeCell ref="H52:H53"/>
    <mergeCell ref="I52:N53"/>
    <mergeCell ref="O52:O53"/>
    <mergeCell ref="I46:N46"/>
    <mergeCell ref="AP46:AR46"/>
    <mergeCell ref="AS46:AU46"/>
    <mergeCell ref="V49:W49"/>
    <mergeCell ref="I37:N37"/>
    <mergeCell ref="I38:N38"/>
    <mergeCell ref="B39:B40"/>
    <mergeCell ref="C39:C40"/>
    <mergeCell ref="D39:D40"/>
    <mergeCell ref="E39:E40"/>
    <mergeCell ref="F39:F40"/>
    <mergeCell ref="G39:G40"/>
    <mergeCell ref="H39:H40"/>
    <mergeCell ref="I39:N39"/>
    <mergeCell ref="B37:B38"/>
    <mergeCell ref="C37:C38"/>
    <mergeCell ref="D37:D38"/>
    <mergeCell ref="E37:E38"/>
    <mergeCell ref="F37:F38"/>
    <mergeCell ref="G37:G38"/>
    <mergeCell ref="H37:H38"/>
    <mergeCell ref="I40:N40"/>
    <mergeCell ref="I45:N45"/>
    <mergeCell ref="B35:B36"/>
    <mergeCell ref="C35:C36"/>
    <mergeCell ref="D35:D36"/>
    <mergeCell ref="E35:E36"/>
    <mergeCell ref="F35:F36"/>
    <mergeCell ref="G35:G36"/>
    <mergeCell ref="H35:H36"/>
    <mergeCell ref="I35:N35"/>
    <mergeCell ref="I36:N36"/>
    <mergeCell ref="H31:H32"/>
    <mergeCell ref="I31:N31"/>
    <mergeCell ref="I32:N32"/>
    <mergeCell ref="T32:U32"/>
    <mergeCell ref="B33:B34"/>
    <mergeCell ref="C33:C34"/>
    <mergeCell ref="D33:D34"/>
    <mergeCell ref="E33:E34"/>
    <mergeCell ref="F33:F34"/>
    <mergeCell ref="G33:G34"/>
    <mergeCell ref="B31:B32"/>
    <mergeCell ref="C31:C32"/>
    <mergeCell ref="D31:D32"/>
    <mergeCell ref="E31:E32"/>
    <mergeCell ref="F31:F32"/>
    <mergeCell ref="G31:G32"/>
    <mergeCell ref="H33:H34"/>
    <mergeCell ref="I33:N33"/>
    <mergeCell ref="I34:N34"/>
    <mergeCell ref="T34:U34"/>
    <mergeCell ref="I28:J28"/>
    <mergeCell ref="N28:O28"/>
    <mergeCell ref="B29:B30"/>
    <mergeCell ref="C29:C30"/>
    <mergeCell ref="D29:D30"/>
    <mergeCell ref="E29:G29"/>
    <mergeCell ref="H29:H30"/>
    <mergeCell ref="I29:N30"/>
    <mergeCell ref="O29:O30"/>
    <mergeCell ref="AI22:AM22"/>
    <mergeCell ref="AN22:AQ22"/>
    <mergeCell ref="I23:N23"/>
    <mergeCell ref="AI23:AL23"/>
    <mergeCell ref="AI24:AL24"/>
    <mergeCell ref="V26:W26"/>
    <mergeCell ref="H16:H17"/>
    <mergeCell ref="I16:N16"/>
    <mergeCell ref="I17:N17"/>
    <mergeCell ref="I22:N22"/>
    <mergeCell ref="AA22:AD22"/>
    <mergeCell ref="AE22:AH22"/>
    <mergeCell ref="B12:B13"/>
    <mergeCell ref="C12:C13"/>
    <mergeCell ref="D12:D13"/>
    <mergeCell ref="E12:E13"/>
    <mergeCell ref="F12:F13"/>
    <mergeCell ref="G12:G13"/>
    <mergeCell ref="H12:H13"/>
    <mergeCell ref="I12:N12"/>
    <mergeCell ref="B16:B17"/>
    <mergeCell ref="C16:C17"/>
    <mergeCell ref="D16:D17"/>
    <mergeCell ref="E16:E17"/>
    <mergeCell ref="F16:F17"/>
    <mergeCell ref="G16:G17"/>
    <mergeCell ref="I13:N13"/>
    <mergeCell ref="B14:B15"/>
    <mergeCell ref="C14:C15"/>
    <mergeCell ref="D14:D15"/>
    <mergeCell ref="E14:E15"/>
    <mergeCell ref="F14:F15"/>
    <mergeCell ref="G14:G15"/>
    <mergeCell ref="H14:H15"/>
    <mergeCell ref="I14:N14"/>
    <mergeCell ref="I15:N15"/>
    <mergeCell ref="H8:H9"/>
    <mergeCell ref="I8:N8"/>
    <mergeCell ref="I9:N9"/>
    <mergeCell ref="B10:B11"/>
    <mergeCell ref="C10:C11"/>
    <mergeCell ref="D10:D11"/>
    <mergeCell ref="E10:E11"/>
    <mergeCell ref="F10:F11"/>
    <mergeCell ref="G10:G11"/>
    <mergeCell ref="H10:H11"/>
    <mergeCell ref="B8:B9"/>
    <mergeCell ref="C8:C9"/>
    <mergeCell ref="D8:D9"/>
    <mergeCell ref="E8:E9"/>
    <mergeCell ref="F8:F9"/>
    <mergeCell ref="G8:G9"/>
    <mergeCell ref="I10:N10"/>
    <mergeCell ref="I11:N11"/>
    <mergeCell ref="V3:W3"/>
    <mergeCell ref="I5:J5"/>
    <mergeCell ref="N5:O5"/>
    <mergeCell ref="B6:B7"/>
    <mergeCell ref="C6:C7"/>
    <mergeCell ref="D6:D7"/>
    <mergeCell ref="E6:G6"/>
    <mergeCell ref="H6:H7"/>
    <mergeCell ref="I6:N7"/>
    <mergeCell ref="O6:O7"/>
  </mergeCells>
  <conditionalFormatting sqref="P32:T32 P34:T34 P35:AT44 P31:AT31 P33:AT33">
    <cfRule type="cellIs" dxfId="13" priority="17" operator="greaterThan">
      <formula>0</formula>
    </cfRule>
  </conditionalFormatting>
  <conditionalFormatting sqref="P32:T32">
    <cfRule type="cellIs" dxfId="12" priority="16" operator="greaterThan">
      <formula>0</formula>
    </cfRule>
  </conditionalFormatting>
  <conditionalFormatting sqref="P34:T34">
    <cfRule type="cellIs" dxfId="11" priority="15" operator="greaterThan">
      <formula>0</formula>
    </cfRule>
  </conditionalFormatting>
  <conditionalFormatting sqref="P8:AQ13 P16:AQ21 V32:AT32 V34:AT34 P54:AS65">
    <cfRule type="cellIs" dxfId="10" priority="19" operator="greaterThan">
      <formula>0</formula>
    </cfRule>
  </conditionalFormatting>
  <conditionalFormatting sqref="P9:AQ9 P11:AQ11 P13:AQ13 P17:AQ17 V32:AT32 V34:AT34 P55:AS55 P57:AS57 P59:AS59 P61:AS61 P63:AS63">
    <cfRule type="cellIs" dxfId="9" priority="18" operator="greaterThan">
      <formula>0</formula>
    </cfRule>
  </conditionalFormatting>
  <conditionalFormatting sqref="P14:AQ15">
    <cfRule type="cellIs" dxfId="8" priority="9" operator="greaterThan">
      <formula>0</formula>
    </cfRule>
  </conditionalFormatting>
  <conditionalFormatting sqref="P15:AQ15">
    <cfRule type="cellIs" dxfId="7" priority="8" operator="greaterThan">
      <formula>0</formula>
    </cfRule>
  </conditionalFormatting>
  <conditionalFormatting sqref="P36:AT36">
    <cfRule type="cellIs" dxfId="6" priority="3" operator="greaterThan">
      <formula>0</formula>
    </cfRule>
  </conditionalFormatting>
  <conditionalFormatting sqref="P38:AT38">
    <cfRule type="cellIs" dxfId="5" priority="13" operator="greaterThan">
      <formula>0</formula>
    </cfRule>
  </conditionalFormatting>
  <conditionalFormatting sqref="P40:AT40">
    <cfRule type="cellIs" dxfId="4" priority="5" operator="greaterThan">
      <formula>0</formula>
    </cfRule>
  </conditionalFormatting>
  <conditionalFormatting sqref="P74:AT75 P78:AT87">
    <cfRule type="cellIs" dxfId="3" priority="7" operator="greaterThan">
      <formula>0</formula>
    </cfRule>
  </conditionalFormatting>
  <conditionalFormatting sqref="P75:AT75 P79:AT79 P81:AT81 P83:AT83">
    <cfRule type="cellIs" dxfId="2" priority="6" operator="greaterThan">
      <formula>0</formula>
    </cfRule>
  </conditionalFormatting>
  <conditionalFormatting sqref="P76:AT77">
    <cfRule type="cellIs" dxfId="1" priority="2" operator="greaterThan">
      <formula>0</formula>
    </cfRule>
  </conditionalFormatting>
  <conditionalFormatting sqref="P77:AT77">
    <cfRule type="cellIs" dxfId="0" priority="1" operator="greaterThan">
      <formula>0</formula>
    </cfRule>
  </conditionalFormatting>
  <pageMargins left="0" right="0" top="0" bottom="0" header="0.31496062992125984" footer="0.31496062992125984"/>
  <pageSetup scale="45" orientation="landscape" horizontalDpi="360" verticalDpi="36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1"/>
  <sheetViews>
    <sheetView zoomScale="60" zoomScaleNormal="60" workbookViewId="0">
      <selection activeCell="O19" sqref="O19"/>
    </sheetView>
  </sheetViews>
  <sheetFormatPr defaultRowHeight="20.25"/>
  <cols>
    <col min="1" max="1" width="2.58203125" style="127" customWidth="1"/>
    <col min="2" max="3" width="2.08203125" style="127" customWidth="1"/>
    <col min="4" max="4" width="8.4140625" style="127" customWidth="1"/>
    <col min="5" max="5" width="1.5" style="127" customWidth="1"/>
    <col min="6" max="6" width="14.75" style="127" customWidth="1"/>
    <col min="7" max="7" width="3.1640625" style="127" customWidth="1"/>
    <col min="8" max="8" width="7.75" style="127" customWidth="1"/>
    <col min="9" max="9" width="18.4140625" style="127" customWidth="1"/>
    <col min="10" max="10" width="6.08203125" style="127"/>
    <col min="11" max="11" width="9.6640625" style="127" customWidth="1"/>
    <col min="12" max="12" width="1.33203125" style="127" customWidth="1"/>
    <col min="13" max="20" width="13.25" customWidth="1"/>
    <col min="21" max="21" width="8.5" customWidth="1"/>
    <col min="22" max="22" width="2.58203125" customWidth="1"/>
    <col min="23" max="23" width="27.4140625" customWidth="1"/>
    <col min="24" max="24" width="2.58203125" customWidth="1"/>
  </cols>
  <sheetData>
    <row r="1" spans="1:24" ht="9" customHeight="1">
      <c r="A1" s="443"/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6"/>
      <c r="X1" s="447"/>
    </row>
    <row r="2" spans="1:24" ht="28.5">
      <c r="A2" s="448"/>
      <c r="B2" s="126"/>
      <c r="C2" s="126"/>
      <c r="D2" s="126"/>
      <c r="E2" s="449" t="s">
        <v>111</v>
      </c>
      <c r="F2" s="450"/>
      <c r="G2" s="451"/>
      <c r="H2" s="451"/>
      <c r="I2" s="131"/>
      <c r="J2" s="132"/>
      <c r="M2" s="344"/>
      <c r="N2" s="344"/>
      <c r="O2" s="344"/>
      <c r="P2" s="344"/>
      <c r="Q2" s="344"/>
      <c r="R2" s="344"/>
      <c r="S2" s="344"/>
      <c r="T2" s="344"/>
      <c r="U2" s="344"/>
      <c r="V2" s="344"/>
      <c r="X2" s="452"/>
    </row>
    <row r="3" spans="1:24" ht="28.5">
      <c r="A3" s="448"/>
      <c r="B3" s="126"/>
      <c r="C3" s="126"/>
      <c r="D3" s="126"/>
      <c r="E3" s="453" t="s">
        <v>233</v>
      </c>
      <c r="F3" s="453"/>
      <c r="G3" s="453"/>
      <c r="H3" s="454" t="s">
        <v>254</v>
      </c>
      <c r="I3" s="133"/>
      <c r="K3" s="134"/>
      <c r="M3" s="344"/>
      <c r="N3" s="344"/>
      <c r="O3" s="344"/>
      <c r="P3" s="344"/>
      <c r="Q3" s="344"/>
      <c r="R3" s="344"/>
      <c r="S3" s="344"/>
      <c r="T3" s="344"/>
      <c r="U3" s="344"/>
      <c r="V3" s="344"/>
      <c r="X3" s="452"/>
    </row>
    <row r="4" spans="1:24" ht="9" customHeight="1" thickBot="1">
      <c r="A4" s="448"/>
      <c r="E4" s="451"/>
      <c r="F4" s="451"/>
      <c r="G4" s="451"/>
      <c r="H4" s="451"/>
      <c r="M4" s="344"/>
      <c r="N4" s="344"/>
      <c r="O4" s="344"/>
      <c r="P4" s="344"/>
      <c r="Q4" s="344"/>
      <c r="R4" s="344"/>
      <c r="S4" s="344"/>
      <c r="T4" s="344"/>
      <c r="U4" s="344"/>
      <c r="V4" s="344"/>
      <c r="X4" s="452"/>
    </row>
    <row r="5" spans="1:24" ht="20.25" customHeight="1">
      <c r="A5" s="455"/>
      <c r="B5" s="1054" t="s">
        <v>161</v>
      </c>
      <c r="C5" s="1055"/>
      <c r="D5" s="1056"/>
      <c r="E5" s="1096" t="s">
        <v>118</v>
      </c>
      <c r="F5" s="1097"/>
      <c r="G5" s="1097"/>
      <c r="H5" s="1098"/>
      <c r="I5" s="1099"/>
      <c r="J5" s="1043" t="s">
        <v>66</v>
      </c>
      <c r="K5" s="1045" t="s">
        <v>124</v>
      </c>
      <c r="L5" s="155"/>
      <c r="M5" s="1039" t="s">
        <v>232</v>
      </c>
      <c r="N5" s="1040"/>
      <c r="O5" s="1040"/>
      <c r="P5" s="1040"/>
      <c r="Q5" s="1040"/>
      <c r="R5" s="1041"/>
      <c r="S5" s="1041"/>
      <c r="T5" s="1042"/>
      <c r="U5" s="1036" t="s">
        <v>124</v>
      </c>
      <c r="V5" s="344"/>
      <c r="W5" s="1038" t="s">
        <v>234</v>
      </c>
      <c r="X5" s="452"/>
    </row>
    <row r="6" spans="1:24" ht="21">
      <c r="A6" s="456"/>
      <c r="B6" s="1057"/>
      <c r="C6" s="1058"/>
      <c r="D6" s="1059"/>
      <c r="E6" s="1103" t="s">
        <v>125</v>
      </c>
      <c r="F6" s="1104"/>
      <c r="G6" s="1104" t="s">
        <v>126</v>
      </c>
      <c r="H6" s="1105"/>
      <c r="I6" s="1106"/>
      <c r="J6" s="1044"/>
      <c r="K6" s="1046"/>
      <c r="L6" s="157"/>
      <c r="M6" s="381">
        <v>1</v>
      </c>
      <c r="N6" s="371">
        <v>2</v>
      </c>
      <c r="O6" s="371">
        <v>3</v>
      </c>
      <c r="P6" s="371">
        <v>4</v>
      </c>
      <c r="Q6" s="371">
        <v>5</v>
      </c>
      <c r="R6" s="372">
        <v>6</v>
      </c>
      <c r="S6" s="372">
        <v>7</v>
      </c>
      <c r="T6" s="382">
        <v>8</v>
      </c>
      <c r="U6" s="1037"/>
      <c r="V6" s="344"/>
      <c r="W6" s="1038"/>
      <c r="X6" s="452"/>
    </row>
    <row r="7" spans="1:24" ht="10.5" customHeight="1">
      <c r="A7" s="457"/>
      <c r="B7" s="1057"/>
      <c r="C7" s="1058"/>
      <c r="D7" s="1059"/>
      <c r="E7" s="398"/>
      <c r="F7" s="399"/>
      <c r="G7" s="399"/>
      <c r="H7" s="399"/>
      <c r="I7" s="399"/>
      <c r="J7" s="399"/>
      <c r="K7" s="400"/>
      <c r="L7" s="126"/>
      <c r="M7" s="373"/>
      <c r="N7" s="374"/>
      <c r="O7" s="374"/>
      <c r="P7" s="374"/>
      <c r="Q7" s="374"/>
      <c r="R7" s="374"/>
      <c r="S7" s="374"/>
      <c r="T7" s="374"/>
      <c r="U7" s="374"/>
      <c r="V7" s="344"/>
      <c r="W7" s="1038"/>
      <c r="X7" s="452"/>
    </row>
    <row r="8" spans="1:24" ht="24" customHeight="1">
      <c r="A8" s="448"/>
      <c r="B8" s="1057"/>
      <c r="C8" s="1058"/>
      <c r="D8" s="1059"/>
      <c r="E8" s="401" t="s">
        <v>128</v>
      </c>
      <c r="F8" s="402" t="s">
        <v>129</v>
      </c>
      <c r="G8" s="1100" t="s">
        <v>130</v>
      </c>
      <c r="H8" s="1101"/>
      <c r="I8" s="1102"/>
      <c r="J8" s="403">
        <v>2</v>
      </c>
      <c r="K8" s="1047">
        <f>SUM(J8:J19)</f>
        <v>25</v>
      </c>
      <c r="M8" s="379"/>
      <c r="N8" s="347"/>
      <c r="O8" s="347"/>
      <c r="P8" s="347"/>
      <c r="Q8" s="347"/>
      <c r="R8" s="348"/>
      <c r="S8" s="348"/>
      <c r="T8" s="380"/>
      <c r="U8" s="385">
        <f>COUNTA(M8:T8)</f>
        <v>0</v>
      </c>
      <c r="V8" s="344"/>
      <c r="W8" s="1038"/>
      <c r="X8" s="452"/>
    </row>
    <row r="9" spans="1:24" ht="24" customHeight="1">
      <c r="A9" s="448"/>
      <c r="B9" s="1057"/>
      <c r="C9" s="1058"/>
      <c r="D9" s="1059"/>
      <c r="E9" s="404"/>
      <c r="F9" s="418"/>
      <c r="G9" s="1083" t="s">
        <v>131</v>
      </c>
      <c r="H9" s="1084"/>
      <c r="I9" s="1085"/>
      <c r="J9" s="405">
        <v>2</v>
      </c>
      <c r="K9" s="1048"/>
      <c r="M9" s="363"/>
      <c r="N9" s="349"/>
      <c r="O9" s="349"/>
      <c r="P9" s="349"/>
      <c r="Q9" s="349"/>
      <c r="R9" s="350"/>
      <c r="S9" s="350"/>
      <c r="T9" s="364"/>
      <c r="U9" s="386">
        <f t="shared" ref="U9:U19" si="0">COUNTA(M9:T9)</f>
        <v>0</v>
      </c>
      <c r="V9" s="344"/>
      <c r="W9" s="1038"/>
      <c r="X9" s="452"/>
    </row>
    <row r="10" spans="1:24" ht="24" customHeight="1">
      <c r="A10" s="448"/>
      <c r="B10" s="1057"/>
      <c r="C10" s="1058"/>
      <c r="D10" s="1059"/>
      <c r="E10" s="404"/>
      <c r="F10" s="418"/>
      <c r="G10" s="1083" t="s">
        <v>132</v>
      </c>
      <c r="H10" s="1084"/>
      <c r="I10" s="1085"/>
      <c r="J10" s="405">
        <v>1</v>
      </c>
      <c r="K10" s="1048"/>
      <c r="M10" s="363"/>
      <c r="N10" s="349"/>
      <c r="O10" s="349"/>
      <c r="P10" s="349"/>
      <c r="Q10" s="349"/>
      <c r="R10" s="350"/>
      <c r="S10" s="350"/>
      <c r="T10" s="364"/>
      <c r="U10" s="386">
        <f t="shared" si="0"/>
        <v>0</v>
      </c>
      <c r="V10" s="344"/>
      <c r="W10" s="1038"/>
      <c r="X10" s="452"/>
    </row>
    <row r="11" spans="1:24" ht="24" customHeight="1">
      <c r="A11" s="448"/>
      <c r="B11" s="1057"/>
      <c r="C11" s="1058"/>
      <c r="D11" s="1059"/>
      <c r="E11" s="406"/>
      <c r="F11" s="407"/>
      <c r="G11" s="1093" t="s">
        <v>133</v>
      </c>
      <c r="H11" s="1094"/>
      <c r="I11" s="1095"/>
      <c r="J11" s="408">
        <v>2</v>
      </c>
      <c r="K11" s="1048"/>
      <c r="M11" s="359"/>
      <c r="N11" s="351"/>
      <c r="O11" s="351"/>
      <c r="P11" s="351"/>
      <c r="Q11" s="351"/>
      <c r="R11" s="352"/>
      <c r="S11" s="352"/>
      <c r="T11" s="360"/>
      <c r="U11" s="387">
        <f t="shared" si="0"/>
        <v>0</v>
      </c>
      <c r="V11" s="344"/>
      <c r="W11" s="1038"/>
      <c r="X11" s="452"/>
    </row>
    <row r="12" spans="1:24" ht="24" customHeight="1">
      <c r="A12" s="448"/>
      <c r="B12" s="1057"/>
      <c r="C12" s="1058"/>
      <c r="D12" s="1059"/>
      <c r="E12" s="409" t="s">
        <v>128</v>
      </c>
      <c r="F12" s="418" t="s">
        <v>134</v>
      </c>
      <c r="G12" s="1100" t="s">
        <v>135</v>
      </c>
      <c r="H12" s="1101"/>
      <c r="I12" s="1102"/>
      <c r="J12" s="403">
        <v>5</v>
      </c>
      <c r="K12" s="1048"/>
      <c r="M12" s="379"/>
      <c r="N12" s="347"/>
      <c r="O12" s="347"/>
      <c r="P12" s="347"/>
      <c r="Q12" s="347"/>
      <c r="R12" s="348"/>
      <c r="S12" s="348"/>
      <c r="T12" s="380"/>
      <c r="U12" s="385">
        <f t="shared" si="0"/>
        <v>0</v>
      </c>
      <c r="V12" s="344"/>
      <c r="W12" s="1038"/>
      <c r="X12" s="452"/>
    </row>
    <row r="13" spans="1:24" ht="24" customHeight="1">
      <c r="A13" s="448"/>
      <c r="B13" s="1057"/>
      <c r="C13" s="1058"/>
      <c r="D13" s="1059"/>
      <c r="E13" s="404"/>
      <c r="F13" s="418"/>
      <c r="G13" s="1093" t="s">
        <v>137</v>
      </c>
      <c r="H13" s="1094"/>
      <c r="I13" s="1095"/>
      <c r="J13" s="408">
        <v>6</v>
      </c>
      <c r="K13" s="1048"/>
      <c r="M13" s="359"/>
      <c r="N13" s="351"/>
      <c r="O13" s="351"/>
      <c r="P13" s="351"/>
      <c r="Q13" s="351"/>
      <c r="R13" s="352"/>
      <c r="S13" s="352"/>
      <c r="T13" s="360"/>
      <c r="U13" s="387">
        <f t="shared" si="0"/>
        <v>0</v>
      </c>
      <c r="V13" s="344"/>
      <c r="W13" s="1038"/>
      <c r="X13" s="452"/>
    </row>
    <row r="14" spans="1:24" ht="24" customHeight="1">
      <c r="A14" s="448"/>
      <c r="B14" s="1057"/>
      <c r="C14" s="1058"/>
      <c r="D14" s="1059"/>
      <c r="E14" s="401" t="s">
        <v>128</v>
      </c>
      <c r="F14" s="402" t="s">
        <v>139</v>
      </c>
      <c r="G14" s="1100" t="s">
        <v>140</v>
      </c>
      <c r="H14" s="1101"/>
      <c r="I14" s="1102"/>
      <c r="J14" s="403">
        <v>1</v>
      </c>
      <c r="K14" s="1048"/>
      <c r="M14" s="379"/>
      <c r="N14" s="347"/>
      <c r="O14" s="347"/>
      <c r="P14" s="347"/>
      <c r="Q14" s="347"/>
      <c r="R14" s="348"/>
      <c r="S14" s="348"/>
      <c r="T14" s="380"/>
      <c r="U14" s="385">
        <f t="shared" si="0"/>
        <v>0</v>
      </c>
      <c r="V14" s="344"/>
      <c r="W14" s="1038"/>
      <c r="X14" s="452"/>
    </row>
    <row r="15" spans="1:24" ht="24" customHeight="1">
      <c r="A15" s="448"/>
      <c r="B15" s="1057"/>
      <c r="C15" s="1058"/>
      <c r="D15" s="1059"/>
      <c r="E15" s="406"/>
      <c r="F15" s="407"/>
      <c r="G15" s="1093" t="s">
        <v>141</v>
      </c>
      <c r="H15" s="1094"/>
      <c r="I15" s="1095"/>
      <c r="J15" s="408">
        <v>2</v>
      </c>
      <c r="K15" s="1048"/>
      <c r="M15" s="359"/>
      <c r="N15" s="351"/>
      <c r="O15" s="351"/>
      <c r="P15" s="351"/>
      <c r="Q15" s="351"/>
      <c r="R15" s="352"/>
      <c r="S15" s="352"/>
      <c r="T15" s="360"/>
      <c r="U15" s="387">
        <f t="shared" si="0"/>
        <v>0</v>
      </c>
      <c r="V15" s="344"/>
      <c r="W15" s="1038"/>
      <c r="X15" s="452"/>
    </row>
    <row r="16" spans="1:24" ht="24" customHeight="1">
      <c r="A16" s="448"/>
      <c r="B16" s="1057"/>
      <c r="C16" s="1058"/>
      <c r="D16" s="1059"/>
      <c r="E16" s="409" t="s">
        <v>128</v>
      </c>
      <c r="F16" s="418" t="s">
        <v>142</v>
      </c>
      <c r="G16" s="1100" t="s">
        <v>143</v>
      </c>
      <c r="H16" s="1101"/>
      <c r="I16" s="1102"/>
      <c r="J16" s="1052">
        <v>2</v>
      </c>
      <c r="K16" s="1048"/>
      <c r="M16" s="379"/>
      <c r="N16" s="347"/>
      <c r="O16" s="347"/>
      <c r="P16" s="347"/>
      <c r="Q16" s="347"/>
      <c r="R16" s="348"/>
      <c r="S16" s="348"/>
      <c r="T16" s="380"/>
      <c r="U16" s="385">
        <f t="shared" si="0"/>
        <v>0</v>
      </c>
      <c r="V16" s="344"/>
      <c r="W16" s="1038"/>
      <c r="X16" s="452"/>
    </row>
    <row r="17" spans="1:24" ht="24" customHeight="1">
      <c r="A17" s="448"/>
      <c r="B17" s="1057"/>
      <c r="C17" s="1058"/>
      <c r="D17" s="1059"/>
      <c r="E17" s="404"/>
      <c r="F17" s="458"/>
      <c r="G17" s="1093" t="s">
        <v>144</v>
      </c>
      <c r="H17" s="1094"/>
      <c r="I17" s="1095"/>
      <c r="J17" s="1053"/>
      <c r="K17" s="1048"/>
      <c r="M17" s="359"/>
      <c r="N17" s="351"/>
      <c r="O17" s="351"/>
      <c r="P17" s="351"/>
      <c r="Q17" s="351"/>
      <c r="R17" s="352"/>
      <c r="S17" s="352"/>
      <c r="T17" s="360"/>
      <c r="U17" s="387">
        <f t="shared" si="0"/>
        <v>0</v>
      </c>
      <c r="V17" s="344"/>
      <c r="W17" s="459"/>
      <c r="X17" s="452"/>
    </row>
    <row r="18" spans="1:24" ht="24" customHeight="1">
      <c r="A18" s="448"/>
      <c r="B18" s="1057"/>
      <c r="C18" s="1058"/>
      <c r="D18" s="1059"/>
      <c r="E18" s="410" t="s">
        <v>128</v>
      </c>
      <c r="F18" s="411" t="s">
        <v>145</v>
      </c>
      <c r="G18" s="1080" t="s">
        <v>146</v>
      </c>
      <c r="H18" s="1081"/>
      <c r="I18" s="1082"/>
      <c r="J18" s="412">
        <v>2</v>
      </c>
      <c r="K18" s="1048"/>
      <c r="M18" s="365"/>
      <c r="N18" s="353"/>
      <c r="O18" s="353"/>
      <c r="P18" s="353"/>
      <c r="Q18" s="353"/>
      <c r="R18" s="354"/>
      <c r="S18" s="354"/>
      <c r="T18" s="366"/>
      <c r="U18" s="388">
        <f t="shared" si="0"/>
        <v>0</v>
      </c>
      <c r="V18" s="344"/>
      <c r="W18" s="1038" t="s">
        <v>235</v>
      </c>
      <c r="X18" s="452"/>
    </row>
    <row r="19" spans="1:24" ht="21.75" thickBot="1">
      <c r="A19" s="448"/>
      <c r="B19" s="1060"/>
      <c r="C19" s="1061"/>
      <c r="D19" s="1062"/>
      <c r="E19" s="413"/>
      <c r="F19" s="1086" t="s">
        <v>155</v>
      </c>
      <c r="G19" s="1086"/>
      <c r="H19" s="414"/>
      <c r="I19" s="414"/>
      <c r="J19" s="415"/>
      <c r="K19" s="1049"/>
      <c r="M19" s="367"/>
      <c r="N19" s="368"/>
      <c r="O19" s="368"/>
      <c r="P19" s="368"/>
      <c r="Q19" s="368"/>
      <c r="R19" s="369"/>
      <c r="S19" s="369"/>
      <c r="T19" s="370"/>
      <c r="U19" s="389">
        <f t="shared" si="0"/>
        <v>0</v>
      </c>
      <c r="V19" s="344"/>
      <c r="W19" s="1038"/>
      <c r="X19" s="452"/>
    </row>
    <row r="20" spans="1:24" ht="29.25" thickBot="1">
      <c r="A20" s="448"/>
      <c r="B20" s="451"/>
      <c r="C20" s="451"/>
      <c r="D20" s="451"/>
      <c r="E20" s="460"/>
      <c r="F20" s="460"/>
      <c r="G20" s="460"/>
      <c r="H20" s="460"/>
      <c r="I20" s="460"/>
      <c r="J20" s="460"/>
      <c r="K20" s="460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1038"/>
      <c r="X20" s="452"/>
    </row>
    <row r="21" spans="1:24" ht="24" customHeight="1">
      <c r="A21" s="448"/>
      <c r="B21" s="1054" t="s">
        <v>163</v>
      </c>
      <c r="C21" s="1055"/>
      <c r="D21" s="1056"/>
      <c r="E21" s="1017" t="s">
        <v>118</v>
      </c>
      <c r="F21" s="1018"/>
      <c r="G21" s="1018"/>
      <c r="H21" s="1019"/>
      <c r="I21" s="1020"/>
      <c r="J21" s="968" t="s">
        <v>66</v>
      </c>
      <c r="K21" s="970" t="s">
        <v>124</v>
      </c>
      <c r="M21" s="1039" t="s">
        <v>232</v>
      </c>
      <c r="N21" s="1040"/>
      <c r="O21" s="1040"/>
      <c r="P21" s="1040"/>
      <c r="Q21" s="1040"/>
      <c r="R21" s="1041"/>
      <c r="S21" s="1041"/>
      <c r="T21" s="1042"/>
      <c r="U21" s="1036" t="s">
        <v>124</v>
      </c>
      <c r="V21" s="344"/>
      <c r="W21" s="1038"/>
      <c r="X21" s="452"/>
    </row>
    <row r="22" spans="1:24" ht="24" customHeight="1">
      <c r="A22" s="457"/>
      <c r="B22" s="1057"/>
      <c r="C22" s="1058"/>
      <c r="D22" s="1059"/>
      <c r="E22" s="1021" t="s">
        <v>125</v>
      </c>
      <c r="F22" s="989"/>
      <c r="G22" s="989" t="s">
        <v>126</v>
      </c>
      <c r="H22" s="990"/>
      <c r="I22" s="991"/>
      <c r="J22" s="969"/>
      <c r="K22" s="971"/>
      <c r="L22" s="126"/>
      <c r="M22" s="435">
        <v>1</v>
      </c>
      <c r="N22" s="345">
        <v>2</v>
      </c>
      <c r="O22" s="345">
        <v>3</v>
      </c>
      <c r="P22" s="345">
        <v>4</v>
      </c>
      <c r="Q22" s="345">
        <v>5</v>
      </c>
      <c r="R22" s="346">
        <v>6</v>
      </c>
      <c r="S22" s="346">
        <v>7</v>
      </c>
      <c r="T22" s="436">
        <v>8</v>
      </c>
      <c r="U22" s="1037"/>
      <c r="V22" s="344"/>
      <c r="W22" s="1038"/>
      <c r="X22" s="452"/>
    </row>
    <row r="23" spans="1:24" ht="10.5" customHeight="1">
      <c r="A23" s="457"/>
      <c r="B23" s="1057"/>
      <c r="C23" s="1058"/>
      <c r="D23" s="1059"/>
      <c r="E23" s="398"/>
      <c r="F23" s="399"/>
      <c r="G23" s="399"/>
      <c r="H23" s="399"/>
      <c r="I23" s="399"/>
      <c r="J23" s="399"/>
      <c r="K23" s="400"/>
      <c r="L23" s="126"/>
      <c r="M23" s="373"/>
      <c r="N23" s="374"/>
      <c r="O23" s="374"/>
      <c r="P23" s="374"/>
      <c r="Q23" s="374"/>
      <c r="R23" s="374"/>
      <c r="S23" s="374"/>
      <c r="T23" s="374"/>
      <c r="U23" s="374"/>
      <c r="V23" s="344"/>
      <c r="W23" s="1038"/>
      <c r="X23" s="452"/>
    </row>
    <row r="24" spans="1:24" ht="24" customHeight="1">
      <c r="A24" s="461"/>
      <c r="B24" s="1057"/>
      <c r="C24" s="1058"/>
      <c r="D24" s="1059"/>
      <c r="E24" s="410" t="s">
        <v>128</v>
      </c>
      <c r="F24" s="411" t="s">
        <v>145</v>
      </c>
      <c r="G24" s="1107" t="s">
        <v>147</v>
      </c>
      <c r="H24" s="1108"/>
      <c r="I24" s="1109"/>
      <c r="J24" s="416">
        <v>2</v>
      </c>
      <c r="K24" s="1047">
        <f>SUM(J24:J30)</f>
        <v>16</v>
      </c>
      <c r="L24" s="126"/>
      <c r="M24" s="365"/>
      <c r="N24" s="353"/>
      <c r="O24" s="353"/>
      <c r="P24" s="353"/>
      <c r="Q24" s="353"/>
      <c r="R24" s="354"/>
      <c r="S24" s="354"/>
      <c r="T24" s="366"/>
      <c r="U24" s="388">
        <f t="shared" ref="U24:U30" si="1">COUNTA(M24:T24)</f>
        <v>0</v>
      </c>
      <c r="V24" s="344"/>
      <c r="W24" s="1038"/>
      <c r="X24" s="452"/>
    </row>
    <row r="25" spans="1:24" ht="24" customHeight="1">
      <c r="A25" s="461"/>
      <c r="B25" s="1057"/>
      <c r="C25" s="1058"/>
      <c r="D25" s="1059"/>
      <c r="E25" s="417" t="s">
        <v>128</v>
      </c>
      <c r="F25" s="418" t="s">
        <v>139</v>
      </c>
      <c r="G25" s="1090" t="s">
        <v>148</v>
      </c>
      <c r="H25" s="1091"/>
      <c r="I25" s="1092"/>
      <c r="J25" s="419">
        <v>1</v>
      </c>
      <c r="K25" s="1050"/>
      <c r="L25" s="126"/>
      <c r="M25" s="361"/>
      <c r="N25" s="357"/>
      <c r="O25" s="357"/>
      <c r="P25" s="357"/>
      <c r="Q25" s="357"/>
      <c r="R25" s="358"/>
      <c r="S25" s="358"/>
      <c r="T25" s="362"/>
      <c r="U25" s="390">
        <f t="shared" si="1"/>
        <v>0</v>
      </c>
      <c r="V25" s="344"/>
      <c r="W25" s="1038"/>
      <c r="X25" s="452"/>
    </row>
    <row r="26" spans="1:24" ht="24" customHeight="1">
      <c r="A26" s="461"/>
      <c r="B26" s="1057"/>
      <c r="C26" s="1058"/>
      <c r="D26" s="1059"/>
      <c r="E26" s="420"/>
      <c r="F26" s="418"/>
      <c r="G26" s="1093" t="s">
        <v>140</v>
      </c>
      <c r="H26" s="1094"/>
      <c r="I26" s="1095"/>
      <c r="J26" s="408">
        <v>1</v>
      </c>
      <c r="K26" s="1050"/>
      <c r="L26" s="174"/>
      <c r="M26" s="359"/>
      <c r="N26" s="351"/>
      <c r="O26" s="351"/>
      <c r="P26" s="351"/>
      <c r="Q26" s="351"/>
      <c r="R26" s="352"/>
      <c r="S26" s="352"/>
      <c r="T26" s="360"/>
      <c r="U26" s="387">
        <f t="shared" si="1"/>
        <v>0</v>
      </c>
      <c r="V26" s="344"/>
      <c r="W26" s="1038"/>
      <c r="X26" s="452"/>
    </row>
    <row r="27" spans="1:24" ht="24" customHeight="1">
      <c r="A27" s="461"/>
      <c r="B27" s="1057"/>
      <c r="C27" s="1058"/>
      <c r="D27" s="1059"/>
      <c r="E27" s="421" t="s">
        <v>128</v>
      </c>
      <c r="F27" s="411" t="s">
        <v>149</v>
      </c>
      <c r="G27" s="1080" t="s">
        <v>150</v>
      </c>
      <c r="H27" s="1081"/>
      <c r="I27" s="1082"/>
      <c r="J27" s="412">
        <v>2</v>
      </c>
      <c r="K27" s="1050"/>
      <c r="L27" s="174"/>
      <c r="M27" s="365"/>
      <c r="N27" s="353"/>
      <c r="O27" s="353"/>
      <c r="P27" s="353"/>
      <c r="Q27" s="353"/>
      <c r="R27" s="354"/>
      <c r="S27" s="354"/>
      <c r="T27" s="366"/>
      <c r="U27" s="388">
        <f t="shared" si="1"/>
        <v>0</v>
      </c>
      <c r="V27" s="344"/>
      <c r="W27" s="1038"/>
      <c r="X27" s="452"/>
    </row>
    <row r="28" spans="1:24" ht="50.25" customHeight="1">
      <c r="A28" s="461"/>
      <c r="B28" s="1057"/>
      <c r="C28" s="1058"/>
      <c r="D28" s="1059"/>
      <c r="E28" s="422" t="s">
        <v>128</v>
      </c>
      <c r="F28" s="407" t="s">
        <v>151</v>
      </c>
      <c r="G28" s="1110" t="s">
        <v>152</v>
      </c>
      <c r="H28" s="1111"/>
      <c r="I28" s="1112"/>
      <c r="J28" s="416">
        <v>8</v>
      </c>
      <c r="K28" s="1050"/>
      <c r="L28" s="174"/>
      <c r="M28" s="383"/>
      <c r="N28" s="355"/>
      <c r="O28" s="355"/>
      <c r="P28" s="355"/>
      <c r="Q28" s="355"/>
      <c r="R28" s="356"/>
      <c r="S28" s="356"/>
      <c r="T28" s="384"/>
      <c r="U28" s="391">
        <f t="shared" si="1"/>
        <v>0</v>
      </c>
      <c r="V28" s="344"/>
      <c r="W28" s="1038"/>
      <c r="X28" s="452"/>
    </row>
    <row r="29" spans="1:24" ht="24" customHeight="1">
      <c r="A29" s="461"/>
      <c r="B29" s="1057"/>
      <c r="C29" s="1058"/>
      <c r="D29" s="1059"/>
      <c r="E29" s="421" t="s">
        <v>128</v>
      </c>
      <c r="F29" s="411" t="s">
        <v>153</v>
      </c>
      <c r="G29" s="1080" t="s">
        <v>154</v>
      </c>
      <c r="H29" s="1081"/>
      <c r="I29" s="1082"/>
      <c r="J29" s="412">
        <v>2</v>
      </c>
      <c r="K29" s="1050"/>
      <c r="L29" s="174"/>
      <c r="M29" s="365"/>
      <c r="N29" s="353"/>
      <c r="O29" s="353"/>
      <c r="P29" s="353"/>
      <c r="Q29" s="353"/>
      <c r="R29" s="354"/>
      <c r="S29" s="354"/>
      <c r="T29" s="366"/>
      <c r="U29" s="388">
        <f t="shared" si="1"/>
        <v>0</v>
      </c>
      <c r="V29" s="344"/>
      <c r="W29" s="1038"/>
      <c r="X29" s="452"/>
    </row>
    <row r="30" spans="1:24" ht="21.75" thickBot="1">
      <c r="A30" s="448"/>
      <c r="B30" s="1060"/>
      <c r="C30" s="1061"/>
      <c r="D30" s="1062"/>
      <c r="E30" s="423"/>
      <c r="F30" s="1086" t="s">
        <v>155</v>
      </c>
      <c r="G30" s="1086"/>
      <c r="H30" s="414"/>
      <c r="I30" s="414"/>
      <c r="J30" s="415"/>
      <c r="K30" s="1051"/>
      <c r="M30" s="367"/>
      <c r="N30" s="368"/>
      <c r="O30" s="368"/>
      <c r="P30" s="368"/>
      <c r="Q30" s="368"/>
      <c r="R30" s="369"/>
      <c r="S30" s="369"/>
      <c r="T30" s="370"/>
      <c r="U30" s="389">
        <f t="shared" si="1"/>
        <v>0</v>
      </c>
      <c r="V30" s="344"/>
      <c r="W30" s="459"/>
      <c r="X30" s="452"/>
    </row>
    <row r="31" spans="1:24" ht="21.75" thickBot="1">
      <c r="A31" s="461"/>
      <c r="B31" s="437"/>
      <c r="C31" s="437"/>
      <c r="D31" s="437"/>
      <c r="E31" s="135"/>
      <c r="F31" s="424"/>
      <c r="G31" s="424"/>
      <c r="H31" s="424"/>
      <c r="I31" s="424"/>
      <c r="J31" s="425"/>
      <c r="K31" s="425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1038" t="s">
        <v>236</v>
      </c>
      <c r="X31" s="452"/>
    </row>
    <row r="32" spans="1:24" ht="21">
      <c r="A32" s="461"/>
      <c r="B32" s="1054" t="s">
        <v>162</v>
      </c>
      <c r="C32" s="1055"/>
      <c r="D32" s="1056"/>
      <c r="E32" s="1096" t="s">
        <v>118</v>
      </c>
      <c r="F32" s="1097"/>
      <c r="G32" s="1097"/>
      <c r="H32" s="1098"/>
      <c r="I32" s="1099"/>
      <c r="J32" s="1043" t="s">
        <v>66</v>
      </c>
      <c r="K32" s="1045" t="s">
        <v>124</v>
      </c>
      <c r="M32" s="1039" t="s">
        <v>232</v>
      </c>
      <c r="N32" s="1040"/>
      <c r="O32" s="1040"/>
      <c r="P32" s="1040"/>
      <c r="Q32" s="1040"/>
      <c r="R32" s="1041"/>
      <c r="S32" s="1041"/>
      <c r="T32" s="1042"/>
      <c r="U32" s="1036" t="s">
        <v>124</v>
      </c>
      <c r="V32" s="344"/>
      <c r="W32" s="1038"/>
      <c r="X32" s="452"/>
    </row>
    <row r="33" spans="1:24" ht="21">
      <c r="A33" s="461"/>
      <c r="B33" s="1057"/>
      <c r="C33" s="1058"/>
      <c r="D33" s="1059"/>
      <c r="E33" s="1103" t="s">
        <v>125</v>
      </c>
      <c r="F33" s="1104"/>
      <c r="G33" s="1104" t="s">
        <v>126</v>
      </c>
      <c r="H33" s="1105"/>
      <c r="I33" s="1106"/>
      <c r="J33" s="1044"/>
      <c r="K33" s="1046"/>
      <c r="M33" s="435">
        <v>1</v>
      </c>
      <c r="N33" s="345">
        <v>2</v>
      </c>
      <c r="O33" s="345">
        <v>3</v>
      </c>
      <c r="P33" s="345">
        <v>4</v>
      </c>
      <c r="Q33" s="345">
        <v>5</v>
      </c>
      <c r="R33" s="346">
        <v>6</v>
      </c>
      <c r="S33" s="346">
        <v>7</v>
      </c>
      <c r="T33" s="436">
        <v>8</v>
      </c>
      <c r="U33" s="1037"/>
      <c r="V33" s="344"/>
      <c r="W33" s="1038"/>
      <c r="X33" s="452"/>
    </row>
    <row r="34" spans="1:24" ht="10.5" customHeight="1">
      <c r="A34" s="448"/>
      <c r="B34" s="1057"/>
      <c r="C34" s="1058"/>
      <c r="D34" s="1059"/>
      <c r="E34" s="398"/>
      <c r="F34" s="399"/>
      <c r="G34" s="399"/>
      <c r="H34" s="399"/>
      <c r="I34" s="399"/>
      <c r="J34" s="399"/>
      <c r="K34" s="400"/>
      <c r="M34" s="373"/>
      <c r="N34" s="374"/>
      <c r="O34" s="374"/>
      <c r="P34" s="374"/>
      <c r="Q34" s="374"/>
      <c r="R34" s="374"/>
      <c r="S34" s="374"/>
      <c r="T34" s="374"/>
      <c r="U34" s="374"/>
      <c r="V34" s="344"/>
      <c r="W34" s="1038"/>
      <c r="X34" s="452"/>
    </row>
    <row r="35" spans="1:24" ht="24" customHeight="1">
      <c r="A35" s="448"/>
      <c r="B35" s="1057"/>
      <c r="C35" s="1058"/>
      <c r="D35" s="1059"/>
      <c r="E35" s="401" t="s">
        <v>128</v>
      </c>
      <c r="F35" s="402" t="s">
        <v>129</v>
      </c>
      <c r="G35" s="1100" t="s">
        <v>130</v>
      </c>
      <c r="H35" s="1101"/>
      <c r="I35" s="1102"/>
      <c r="J35" s="403">
        <v>2</v>
      </c>
      <c r="K35" s="1047">
        <f>SUM(J35:J46)</f>
        <v>25</v>
      </c>
      <c r="M35" s="379"/>
      <c r="N35" s="347"/>
      <c r="O35" s="347"/>
      <c r="P35" s="347"/>
      <c r="Q35" s="347"/>
      <c r="R35" s="348"/>
      <c r="S35" s="348"/>
      <c r="T35" s="380"/>
      <c r="U35" s="385">
        <f t="shared" ref="U35:U46" si="2">COUNTA(M35:T35)</f>
        <v>0</v>
      </c>
      <c r="V35" s="344"/>
      <c r="W35" s="1038"/>
      <c r="X35" s="452"/>
    </row>
    <row r="36" spans="1:24" ht="24" customHeight="1">
      <c r="A36" s="448"/>
      <c r="B36" s="1057"/>
      <c r="C36" s="1058"/>
      <c r="D36" s="1059"/>
      <c r="E36" s="404"/>
      <c r="F36" s="418"/>
      <c r="G36" s="1083" t="s">
        <v>131</v>
      </c>
      <c r="H36" s="1084"/>
      <c r="I36" s="1085"/>
      <c r="J36" s="405">
        <v>2</v>
      </c>
      <c r="K36" s="1048"/>
      <c r="M36" s="363"/>
      <c r="N36" s="349"/>
      <c r="O36" s="349"/>
      <c r="P36" s="349"/>
      <c r="Q36" s="349"/>
      <c r="R36" s="350"/>
      <c r="S36" s="350"/>
      <c r="T36" s="364"/>
      <c r="U36" s="386">
        <f t="shared" si="2"/>
        <v>0</v>
      </c>
      <c r="V36" s="344"/>
      <c r="W36" s="1038"/>
      <c r="X36" s="452"/>
    </row>
    <row r="37" spans="1:24" ht="24" customHeight="1">
      <c r="A37" s="448"/>
      <c r="B37" s="1057"/>
      <c r="C37" s="1058"/>
      <c r="D37" s="1059"/>
      <c r="E37" s="404"/>
      <c r="F37" s="418"/>
      <c r="G37" s="1083" t="s">
        <v>132</v>
      </c>
      <c r="H37" s="1084"/>
      <c r="I37" s="1085"/>
      <c r="J37" s="405">
        <v>1</v>
      </c>
      <c r="K37" s="1048"/>
      <c r="M37" s="363"/>
      <c r="N37" s="349"/>
      <c r="O37" s="349"/>
      <c r="P37" s="349"/>
      <c r="Q37" s="349"/>
      <c r="R37" s="350"/>
      <c r="S37" s="350"/>
      <c r="T37" s="364"/>
      <c r="U37" s="386">
        <f t="shared" si="2"/>
        <v>0</v>
      </c>
      <c r="V37" s="344"/>
      <c r="W37" s="1038"/>
      <c r="X37" s="452"/>
    </row>
    <row r="38" spans="1:24" ht="24" customHeight="1">
      <c r="A38" s="448"/>
      <c r="B38" s="1057"/>
      <c r="C38" s="1058"/>
      <c r="D38" s="1059"/>
      <c r="E38" s="406"/>
      <c r="F38" s="407"/>
      <c r="G38" s="1093" t="s">
        <v>133</v>
      </c>
      <c r="H38" s="1094"/>
      <c r="I38" s="1095"/>
      <c r="J38" s="408">
        <v>2</v>
      </c>
      <c r="K38" s="1048"/>
      <c r="M38" s="359"/>
      <c r="N38" s="351"/>
      <c r="O38" s="351"/>
      <c r="P38" s="351"/>
      <c r="Q38" s="351"/>
      <c r="R38" s="352"/>
      <c r="S38" s="352"/>
      <c r="T38" s="360"/>
      <c r="U38" s="387">
        <f t="shared" si="2"/>
        <v>0</v>
      </c>
      <c r="V38" s="344"/>
      <c r="W38" s="1038"/>
      <c r="X38" s="452"/>
    </row>
    <row r="39" spans="1:24" ht="24" customHeight="1">
      <c r="A39" s="448"/>
      <c r="B39" s="1057"/>
      <c r="C39" s="1058"/>
      <c r="D39" s="1059"/>
      <c r="E39" s="409" t="s">
        <v>128</v>
      </c>
      <c r="F39" s="418" t="s">
        <v>134</v>
      </c>
      <c r="G39" s="1100" t="s">
        <v>135</v>
      </c>
      <c r="H39" s="1101"/>
      <c r="I39" s="1102"/>
      <c r="J39" s="403">
        <v>5</v>
      </c>
      <c r="K39" s="1048"/>
      <c r="M39" s="379"/>
      <c r="N39" s="347"/>
      <c r="O39" s="347"/>
      <c r="P39" s="347"/>
      <c r="Q39" s="347"/>
      <c r="R39" s="348"/>
      <c r="S39" s="348"/>
      <c r="T39" s="380"/>
      <c r="U39" s="385">
        <f t="shared" si="2"/>
        <v>0</v>
      </c>
      <c r="V39" s="344"/>
      <c r="W39" s="1038"/>
      <c r="X39" s="452"/>
    </row>
    <row r="40" spans="1:24" ht="24" customHeight="1">
      <c r="A40" s="448"/>
      <c r="B40" s="1057"/>
      <c r="C40" s="1058"/>
      <c r="D40" s="1059"/>
      <c r="E40" s="404"/>
      <c r="F40" s="418"/>
      <c r="G40" s="1093" t="s">
        <v>137</v>
      </c>
      <c r="H40" s="1094"/>
      <c r="I40" s="1095"/>
      <c r="J40" s="408">
        <v>6</v>
      </c>
      <c r="K40" s="1048"/>
      <c r="M40" s="359"/>
      <c r="N40" s="351"/>
      <c r="O40" s="351"/>
      <c r="P40" s="351"/>
      <c r="Q40" s="351"/>
      <c r="R40" s="352"/>
      <c r="S40" s="352"/>
      <c r="T40" s="360"/>
      <c r="U40" s="387">
        <f t="shared" si="2"/>
        <v>0</v>
      </c>
      <c r="V40" s="344"/>
      <c r="W40" s="1038"/>
      <c r="X40" s="452"/>
    </row>
    <row r="41" spans="1:24" ht="24" customHeight="1">
      <c r="A41" s="448"/>
      <c r="B41" s="1057"/>
      <c r="C41" s="1058"/>
      <c r="D41" s="1059"/>
      <c r="E41" s="401" t="s">
        <v>128</v>
      </c>
      <c r="F41" s="402" t="s">
        <v>139</v>
      </c>
      <c r="G41" s="1100" t="s">
        <v>140</v>
      </c>
      <c r="H41" s="1101"/>
      <c r="I41" s="1102"/>
      <c r="J41" s="403">
        <v>1</v>
      </c>
      <c r="K41" s="1048"/>
      <c r="M41" s="379"/>
      <c r="N41" s="347"/>
      <c r="O41" s="347"/>
      <c r="P41" s="347"/>
      <c r="Q41" s="347"/>
      <c r="R41" s="348"/>
      <c r="S41" s="348"/>
      <c r="T41" s="380"/>
      <c r="U41" s="385">
        <f t="shared" si="2"/>
        <v>0</v>
      </c>
      <c r="V41" s="344"/>
      <c r="W41" s="1038"/>
      <c r="X41" s="452"/>
    </row>
    <row r="42" spans="1:24" ht="24" customHeight="1">
      <c r="A42" s="448"/>
      <c r="B42" s="1057"/>
      <c r="C42" s="1058"/>
      <c r="D42" s="1059"/>
      <c r="E42" s="406"/>
      <c r="F42" s="407"/>
      <c r="G42" s="1093" t="s">
        <v>141</v>
      </c>
      <c r="H42" s="1094"/>
      <c r="I42" s="1095"/>
      <c r="J42" s="408">
        <v>2</v>
      </c>
      <c r="K42" s="1048"/>
      <c r="M42" s="359"/>
      <c r="N42" s="351"/>
      <c r="O42" s="351"/>
      <c r="P42" s="351"/>
      <c r="Q42" s="351"/>
      <c r="R42" s="352"/>
      <c r="S42" s="352"/>
      <c r="T42" s="360"/>
      <c r="U42" s="387">
        <f t="shared" si="2"/>
        <v>0</v>
      </c>
      <c r="V42" s="344"/>
      <c r="W42" s="1038"/>
      <c r="X42" s="452"/>
    </row>
    <row r="43" spans="1:24" ht="24" customHeight="1">
      <c r="A43" s="448"/>
      <c r="B43" s="1057"/>
      <c r="C43" s="1058"/>
      <c r="D43" s="1059"/>
      <c r="E43" s="409" t="s">
        <v>128</v>
      </c>
      <c r="F43" s="418" t="s">
        <v>142</v>
      </c>
      <c r="G43" s="1100" t="s">
        <v>143</v>
      </c>
      <c r="H43" s="1101"/>
      <c r="I43" s="1102"/>
      <c r="J43" s="1052">
        <v>2</v>
      </c>
      <c r="K43" s="1048"/>
      <c r="M43" s="379"/>
      <c r="N43" s="347"/>
      <c r="O43" s="347"/>
      <c r="P43" s="347"/>
      <c r="Q43" s="347"/>
      <c r="R43" s="348"/>
      <c r="S43" s="348"/>
      <c r="T43" s="380"/>
      <c r="U43" s="385">
        <f t="shared" si="2"/>
        <v>0</v>
      </c>
      <c r="V43" s="344"/>
      <c r="W43" s="459"/>
      <c r="X43" s="452"/>
    </row>
    <row r="44" spans="1:24" ht="24" customHeight="1">
      <c r="A44" s="448"/>
      <c r="B44" s="1057"/>
      <c r="C44" s="1058"/>
      <c r="D44" s="1059"/>
      <c r="E44" s="404"/>
      <c r="F44" s="458"/>
      <c r="G44" s="1093" t="s">
        <v>144</v>
      </c>
      <c r="H44" s="1094"/>
      <c r="I44" s="1095"/>
      <c r="J44" s="1053"/>
      <c r="K44" s="1048"/>
      <c r="M44" s="359"/>
      <c r="N44" s="351"/>
      <c r="O44" s="351"/>
      <c r="P44" s="351"/>
      <c r="Q44" s="351"/>
      <c r="R44" s="352"/>
      <c r="S44" s="352"/>
      <c r="T44" s="360"/>
      <c r="U44" s="387">
        <f t="shared" si="2"/>
        <v>0</v>
      </c>
      <c r="V44" s="344"/>
      <c r="W44" s="1038" t="s">
        <v>236</v>
      </c>
      <c r="X44" s="452"/>
    </row>
    <row r="45" spans="1:24" ht="24" customHeight="1">
      <c r="A45" s="448"/>
      <c r="B45" s="1057"/>
      <c r="C45" s="1058"/>
      <c r="D45" s="1059"/>
      <c r="E45" s="410" t="s">
        <v>128</v>
      </c>
      <c r="F45" s="411" t="s">
        <v>145</v>
      </c>
      <c r="G45" s="1080" t="s">
        <v>146</v>
      </c>
      <c r="H45" s="1081"/>
      <c r="I45" s="1082"/>
      <c r="J45" s="412">
        <v>2</v>
      </c>
      <c r="K45" s="1048"/>
      <c r="M45" s="365"/>
      <c r="N45" s="353"/>
      <c r="O45" s="353"/>
      <c r="P45" s="353"/>
      <c r="Q45" s="353"/>
      <c r="R45" s="354"/>
      <c r="S45" s="354"/>
      <c r="T45" s="366"/>
      <c r="U45" s="388">
        <f t="shared" si="2"/>
        <v>0</v>
      </c>
      <c r="V45" s="344"/>
      <c r="W45" s="1038"/>
      <c r="X45" s="452"/>
    </row>
    <row r="46" spans="1:24" ht="21.75" thickBot="1">
      <c r="A46" s="448"/>
      <c r="B46" s="1060"/>
      <c r="C46" s="1061"/>
      <c r="D46" s="1062"/>
      <c r="E46" s="413"/>
      <c r="F46" s="1086" t="s">
        <v>155</v>
      </c>
      <c r="G46" s="1086"/>
      <c r="H46" s="414"/>
      <c r="I46" s="414"/>
      <c r="J46" s="415"/>
      <c r="K46" s="1049"/>
      <c r="M46" s="367"/>
      <c r="N46" s="368"/>
      <c r="O46" s="368"/>
      <c r="P46" s="368"/>
      <c r="Q46" s="368"/>
      <c r="R46" s="369"/>
      <c r="S46" s="369"/>
      <c r="T46" s="370"/>
      <c r="U46" s="389">
        <f t="shared" si="2"/>
        <v>0</v>
      </c>
      <c r="V46" s="344"/>
      <c r="W46" s="1038"/>
      <c r="X46" s="452"/>
    </row>
    <row r="47" spans="1:24" ht="29.25" thickBot="1">
      <c r="A47" s="448"/>
      <c r="B47" s="451"/>
      <c r="C47" s="451"/>
      <c r="D47" s="451"/>
      <c r="E47" s="460"/>
      <c r="F47" s="460"/>
      <c r="G47" s="460"/>
      <c r="H47" s="460"/>
      <c r="I47" s="460"/>
      <c r="J47" s="460"/>
      <c r="K47" s="460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1038"/>
      <c r="X47" s="452"/>
    </row>
    <row r="48" spans="1:24" ht="21">
      <c r="A48" s="448"/>
      <c r="B48" s="1054" t="s">
        <v>164</v>
      </c>
      <c r="C48" s="1055"/>
      <c r="D48" s="1056"/>
      <c r="E48" s="1087" t="s">
        <v>118</v>
      </c>
      <c r="F48" s="1088"/>
      <c r="G48" s="1088"/>
      <c r="H48" s="1088"/>
      <c r="I48" s="1089"/>
      <c r="J48" s="1043" t="s">
        <v>66</v>
      </c>
      <c r="K48" s="1045" t="s">
        <v>124</v>
      </c>
      <c r="M48" s="1039" t="s">
        <v>232</v>
      </c>
      <c r="N48" s="1040"/>
      <c r="O48" s="1040"/>
      <c r="P48" s="1040"/>
      <c r="Q48" s="1040"/>
      <c r="R48" s="1041"/>
      <c r="S48" s="1041"/>
      <c r="T48" s="1042"/>
      <c r="U48" s="1036" t="s">
        <v>124</v>
      </c>
      <c r="V48" s="344"/>
      <c r="W48" s="1038"/>
      <c r="X48" s="452"/>
    </row>
    <row r="49" spans="1:24" ht="21">
      <c r="A49" s="448"/>
      <c r="B49" s="1057"/>
      <c r="C49" s="1058"/>
      <c r="D49" s="1059"/>
      <c r="E49" s="1072" t="s">
        <v>125</v>
      </c>
      <c r="F49" s="1073"/>
      <c r="G49" s="1074"/>
      <c r="H49" s="1075" t="s">
        <v>126</v>
      </c>
      <c r="I49" s="1076"/>
      <c r="J49" s="1044"/>
      <c r="K49" s="1046"/>
      <c r="M49" s="435">
        <v>1</v>
      </c>
      <c r="N49" s="345">
        <v>2</v>
      </c>
      <c r="O49" s="345">
        <v>3</v>
      </c>
      <c r="P49" s="345">
        <v>4</v>
      </c>
      <c r="Q49" s="345">
        <v>5</v>
      </c>
      <c r="R49" s="346">
        <v>6</v>
      </c>
      <c r="S49" s="346">
        <v>7</v>
      </c>
      <c r="T49" s="436">
        <v>8</v>
      </c>
      <c r="U49" s="1037"/>
      <c r="V49" s="344"/>
      <c r="W49" s="1038"/>
      <c r="X49" s="452"/>
    </row>
    <row r="50" spans="1:24" ht="10.5" customHeight="1">
      <c r="A50" s="448"/>
      <c r="B50" s="1057"/>
      <c r="C50" s="1058"/>
      <c r="D50" s="1059"/>
      <c r="E50" s="398"/>
      <c r="F50" s="399"/>
      <c r="G50" s="399"/>
      <c r="H50" s="399"/>
      <c r="I50" s="399"/>
      <c r="J50" s="399"/>
      <c r="K50" s="400"/>
      <c r="M50" s="373"/>
      <c r="N50" s="374"/>
      <c r="O50" s="374"/>
      <c r="P50" s="374"/>
      <c r="Q50" s="374"/>
      <c r="R50" s="374"/>
      <c r="S50" s="374"/>
      <c r="T50" s="374"/>
      <c r="U50" s="374"/>
      <c r="V50" s="344"/>
      <c r="W50" s="1038"/>
      <c r="X50" s="452"/>
    </row>
    <row r="51" spans="1:24" ht="24" customHeight="1">
      <c r="A51" s="448"/>
      <c r="B51" s="1057"/>
      <c r="C51" s="1058"/>
      <c r="D51" s="1059"/>
      <c r="E51" s="426" t="s">
        <v>128</v>
      </c>
      <c r="F51" s="402" t="s">
        <v>105</v>
      </c>
      <c r="G51" s="1063" t="s">
        <v>165</v>
      </c>
      <c r="H51" s="1064"/>
      <c r="I51" s="1065"/>
      <c r="J51" s="427">
        <v>3</v>
      </c>
      <c r="K51" s="1047">
        <f>SUM(J51:J63)</f>
        <v>14</v>
      </c>
      <c r="M51" s="361" t="s">
        <v>237</v>
      </c>
      <c r="N51" s="357" t="s">
        <v>238</v>
      </c>
      <c r="O51" s="357" t="s">
        <v>239</v>
      </c>
      <c r="P51" s="357"/>
      <c r="Q51" s="357"/>
      <c r="R51" s="358"/>
      <c r="S51" s="358"/>
      <c r="T51" s="362"/>
      <c r="U51" s="392">
        <f t="shared" ref="U51:U63" si="3">COUNTA(M51:T51)</f>
        <v>3</v>
      </c>
      <c r="V51" s="344"/>
      <c r="W51" s="1038"/>
      <c r="X51" s="452"/>
    </row>
    <row r="52" spans="1:24" ht="24" customHeight="1">
      <c r="A52" s="448"/>
      <c r="B52" s="1057"/>
      <c r="C52" s="1058"/>
      <c r="D52" s="1059"/>
      <c r="E52" s="417"/>
      <c r="F52" s="418"/>
      <c r="G52" s="1066" t="s">
        <v>240</v>
      </c>
      <c r="H52" s="1067"/>
      <c r="I52" s="1068"/>
      <c r="J52" s="428">
        <v>1</v>
      </c>
      <c r="K52" s="1050"/>
      <c r="M52" s="363" t="s">
        <v>241</v>
      </c>
      <c r="N52" s="349"/>
      <c r="O52" s="349"/>
      <c r="P52" s="349"/>
      <c r="Q52" s="349"/>
      <c r="R52" s="350"/>
      <c r="S52" s="350"/>
      <c r="T52" s="364"/>
      <c r="U52" s="393">
        <f t="shared" si="3"/>
        <v>1</v>
      </c>
      <c r="V52" s="344"/>
      <c r="W52" s="1038"/>
      <c r="X52" s="452"/>
    </row>
    <row r="53" spans="1:24" ht="24" customHeight="1">
      <c r="A53" s="448"/>
      <c r="B53" s="1057"/>
      <c r="C53" s="1058"/>
      <c r="D53" s="1059"/>
      <c r="E53" s="417"/>
      <c r="F53" s="418"/>
      <c r="G53" s="1066" t="s">
        <v>176</v>
      </c>
      <c r="H53" s="1067"/>
      <c r="I53" s="1068"/>
      <c r="J53" s="429">
        <v>1</v>
      </c>
      <c r="K53" s="1050"/>
      <c r="M53" s="375" t="s">
        <v>242</v>
      </c>
      <c r="N53" s="376"/>
      <c r="O53" s="376"/>
      <c r="P53" s="376"/>
      <c r="Q53" s="376"/>
      <c r="R53" s="377"/>
      <c r="S53" s="377"/>
      <c r="T53" s="378"/>
      <c r="U53" s="394">
        <f t="shared" si="3"/>
        <v>1</v>
      </c>
      <c r="V53" s="344"/>
      <c r="W53" s="1038"/>
      <c r="X53" s="452"/>
    </row>
    <row r="54" spans="1:24" ht="24" customHeight="1">
      <c r="A54" s="448"/>
      <c r="B54" s="1057"/>
      <c r="C54" s="1058"/>
      <c r="D54" s="1059"/>
      <c r="E54" s="430"/>
      <c r="F54" s="431"/>
      <c r="G54" s="1069" t="s">
        <v>167</v>
      </c>
      <c r="H54" s="1070"/>
      <c r="I54" s="1071"/>
      <c r="J54" s="432">
        <v>1</v>
      </c>
      <c r="K54" s="1050"/>
      <c r="M54" s="359" t="s">
        <v>243</v>
      </c>
      <c r="N54" s="351"/>
      <c r="O54" s="351"/>
      <c r="P54" s="351"/>
      <c r="Q54" s="351"/>
      <c r="R54" s="352"/>
      <c r="S54" s="352"/>
      <c r="T54" s="360"/>
      <c r="U54" s="395">
        <f t="shared" si="3"/>
        <v>1</v>
      </c>
      <c r="V54" s="344"/>
      <c r="W54" s="1038"/>
      <c r="X54" s="452"/>
    </row>
    <row r="55" spans="1:24" ht="24" customHeight="1">
      <c r="A55" s="448"/>
      <c r="B55" s="1057"/>
      <c r="C55" s="1058"/>
      <c r="D55" s="1059"/>
      <c r="E55" s="417" t="s">
        <v>128</v>
      </c>
      <c r="F55" s="418" t="s">
        <v>157</v>
      </c>
      <c r="G55" s="1063" t="s">
        <v>168</v>
      </c>
      <c r="H55" s="1064"/>
      <c r="I55" s="1065"/>
      <c r="J55" s="433">
        <v>1</v>
      </c>
      <c r="K55" s="1050"/>
      <c r="M55" s="361" t="s">
        <v>244</v>
      </c>
      <c r="N55" s="357"/>
      <c r="O55" s="357"/>
      <c r="P55" s="357"/>
      <c r="Q55" s="357"/>
      <c r="R55" s="358"/>
      <c r="S55" s="358"/>
      <c r="T55" s="362"/>
      <c r="U55" s="392">
        <f t="shared" si="3"/>
        <v>1</v>
      </c>
      <c r="V55" s="344"/>
      <c r="W55" s="1038"/>
      <c r="X55" s="452"/>
    </row>
    <row r="56" spans="1:24" ht="24" customHeight="1">
      <c r="A56" s="448"/>
      <c r="B56" s="1057"/>
      <c r="C56" s="1058"/>
      <c r="D56" s="1059"/>
      <c r="E56" s="420"/>
      <c r="F56" s="418"/>
      <c r="G56" s="1066" t="s">
        <v>169</v>
      </c>
      <c r="H56" s="1067"/>
      <c r="I56" s="1068"/>
      <c r="J56" s="428">
        <v>1</v>
      </c>
      <c r="K56" s="1050"/>
      <c r="M56" s="363" t="s">
        <v>245</v>
      </c>
      <c r="N56" s="349"/>
      <c r="O56" s="349"/>
      <c r="P56" s="349"/>
      <c r="Q56" s="349"/>
      <c r="R56" s="350"/>
      <c r="S56" s="350"/>
      <c r="T56" s="364"/>
      <c r="U56" s="393">
        <f t="shared" si="3"/>
        <v>1</v>
      </c>
      <c r="V56" s="344"/>
      <c r="W56" s="1038"/>
      <c r="X56" s="452"/>
    </row>
    <row r="57" spans="1:24" ht="24" customHeight="1">
      <c r="A57" s="448"/>
      <c r="B57" s="1057"/>
      <c r="C57" s="1058"/>
      <c r="D57" s="1059"/>
      <c r="E57" s="422"/>
      <c r="F57" s="407"/>
      <c r="G57" s="1069" t="s">
        <v>170</v>
      </c>
      <c r="H57" s="1070"/>
      <c r="I57" s="1071"/>
      <c r="J57" s="434">
        <v>1</v>
      </c>
      <c r="K57" s="1050"/>
      <c r="M57" s="359" t="s">
        <v>246</v>
      </c>
      <c r="N57" s="351"/>
      <c r="O57" s="351"/>
      <c r="P57" s="351"/>
      <c r="Q57" s="351"/>
      <c r="R57" s="352"/>
      <c r="S57" s="352"/>
      <c r="T57" s="360"/>
      <c r="U57" s="395">
        <f t="shared" si="3"/>
        <v>1</v>
      </c>
      <c r="V57" s="344"/>
      <c r="X57" s="452"/>
    </row>
    <row r="58" spans="1:24" ht="24" customHeight="1">
      <c r="A58" s="448"/>
      <c r="B58" s="1057"/>
      <c r="C58" s="1058"/>
      <c r="D58" s="1059"/>
      <c r="E58" s="426" t="s">
        <v>128</v>
      </c>
      <c r="F58" s="402" t="s">
        <v>160</v>
      </c>
      <c r="G58" s="1063" t="s">
        <v>171</v>
      </c>
      <c r="H58" s="1064"/>
      <c r="I58" s="1065"/>
      <c r="J58" s="427">
        <v>1</v>
      </c>
      <c r="K58" s="1050"/>
      <c r="M58" s="361" t="s">
        <v>247</v>
      </c>
      <c r="N58" s="357"/>
      <c r="O58" s="357"/>
      <c r="P58" s="357"/>
      <c r="Q58" s="357"/>
      <c r="R58" s="358"/>
      <c r="S58" s="358"/>
      <c r="T58" s="362"/>
      <c r="U58" s="392">
        <f t="shared" si="3"/>
        <v>1</v>
      </c>
      <c r="V58" s="344"/>
      <c r="X58" s="452"/>
    </row>
    <row r="59" spans="1:24" ht="24" customHeight="1">
      <c r="A59" s="448"/>
      <c r="B59" s="1057"/>
      <c r="C59" s="1058"/>
      <c r="D59" s="1059"/>
      <c r="E59" s="430"/>
      <c r="F59" s="407"/>
      <c r="G59" s="1069" t="s">
        <v>172</v>
      </c>
      <c r="H59" s="1070"/>
      <c r="I59" s="1071"/>
      <c r="J59" s="432">
        <v>1</v>
      </c>
      <c r="K59" s="1050"/>
      <c r="M59" s="359" t="s">
        <v>248</v>
      </c>
      <c r="N59" s="351"/>
      <c r="O59" s="351"/>
      <c r="P59" s="351"/>
      <c r="Q59" s="351"/>
      <c r="R59" s="352"/>
      <c r="S59" s="352"/>
      <c r="T59" s="360"/>
      <c r="U59" s="395">
        <f t="shared" si="3"/>
        <v>1</v>
      </c>
      <c r="V59" s="344"/>
      <c r="X59" s="452"/>
    </row>
    <row r="60" spans="1:24" ht="24" customHeight="1">
      <c r="A60" s="448"/>
      <c r="B60" s="1057"/>
      <c r="C60" s="1058"/>
      <c r="D60" s="1059"/>
      <c r="E60" s="426" t="s">
        <v>128</v>
      </c>
      <c r="F60" s="402" t="s">
        <v>159</v>
      </c>
      <c r="G60" s="1063" t="s">
        <v>173</v>
      </c>
      <c r="H60" s="1064"/>
      <c r="I60" s="1065"/>
      <c r="J60" s="427">
        <v>1</v>
      </c>
      <c r="K60" s="1050"/>
      <c r="M60" s="361" t="s">
        <v>251</v>
      </c>
      <c r="N60" s="357"/>
      <c r="O60" s="357"/>
      <c r="P60" s="357"/>
      <c r="Q60" s="357"/>
      <c r="R60" s="358"/>
      <c r="S60" s="358"/>
      <c r="T60" s="362"/>
      <c r="U60" s="392">
        <f t="shared" si="3"/>
        <v>1</v>
      </c>
      <c r="V60" s="344"/>
      <c r="X60" s="452"/>
    </row>
    <row r="61" spans="1:24" ht="24" customHeight="1">
      <c r="A61" s="448"/>
      <c r="B61" s="1057"/>
      <c r="C61" s="1058"/>
      <c r="D61" s="1059"/>
      <c r="E61" s="422"/>
      <c r="F61" s="407"/>
      <c r="G61" s="1077" t="s">
        <v>174</v>
      </c>
      <c r="H61" s="1078"/>
      <c r="I61" s="1079"/>
      <c r="J61" s="408">
        <v>1</v>
      </c>
      <c r="K61" s="1050"/>
      <c r="M61" s="359" t="s">
        <v>249</v>
      </c>
      <c r="N61" s="351"/>
      <c r="O61" s="351"/>
      <c r="P61" s="351"/>
      <c r="Q61" s="351"/>
      <c r="R61" s="352"/>
      <c r="S61" s="352"/>
      <c r="T61" s="360"/>
      <c r="U61" s="395">
        <f t="shared" si="3"/>
        <v>1</v>
      </c>
      <c r="V61" s="344"/>
      <c r="X61" s="452"/>
    </row>
    <row r="62" spans="1:24" ht="24" customHeight="1">
      <c r="A62" s="448"/>
      <c r="B62" s="1057"/>
      <c r="C62" s="1058"/>
      <c r="D62" s="1059"/>
      <c r="E62" s="422" t="s">
        <v>128</v>
      </c>
      <c r="F62" s="407" t="s">
        <v>166</v>
      </c>
      <c r="G62" s="1080" t="s">
        <v>175</v>
      </c>
      <c r="H62" s="1081"/>
      <c r="I62" s="1082"/>
      <c r="J62" s="434">
        <v>1</v>
      </c>
      <c r="K62" s="1050"/>
      <c r="M62" s="365" t="s">
        <v>250</v>
      </c>
      <c r="N62" s="353"/>
      <c r="O62" s="353"/>
      <c r="P62" s="353"/>
      <c r="Q62" s="353"/>
      <c r="R62" s="354"/>
      <c r="S62" s="354"/>
      <c r="T62" s="366"/>
      <c r="U62" s="396">
        <f t="shared" si="3"/>
        <v>1</v>
      </c>
      <c r="V62" s="344"/>
      <c r="X62" s="452"/>
    </row>
    <row r="63" spans="1:24" ht="21.75" thickBot="1">
      <c r="A63" s="448"/>
      <c r="B63" s="1060"/>
      <c r="C63" s="1061"/>
      <c r="D63" s="1062"/>
      <c r="E63" s="423"/>
      <c r="F63" s="1086" t="s">
        <v>155</v>
      </c>
      <c r="G63" s="1086"/>
      <c r="H63" s="1086"/>
      <c r="I63" s="414"/>
      <c r="J63" s="415"/>
      <c r="K63" s="1051"/>
      <c r="M63" s="367"/>
      <c r="N63" s="368"/>
      <c r="O63" s="368"/>
      <c r="P63" s="368"/>
      <c r="Q63" s="368"/>
      <c r="R63" s="369"/>
      <c r="S63" s="369"/>
      <c r="T63" s="370"/>
      <c r="U63" s="397">
        <f t="shared" si="3"/>
        <v>0</v>
      </c>
      <c r="V63" s="344"/>
      <c r="X63" s="452"/>
    </row>
    <row r="64" spans="1:24" ht="7.5" customHeight="1" thickBot="1">
      <c r="A64" s="448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X64" s="452"/>
    </row>
    <row r="65" spans="1:24" s="442" customFormat="1" ht="40.5" customHeight="1" thickBot="1">
      <c r="A65" s="462"/>
      <c r="B65" s="463"/>
      <c r="C65" s="438"/>
      <c r="D65" s="439"/>
      <c r="E65" s="439"/>
      <c r="F65" s="439"/>
      <c r="G65" s="439"/>
      <c r="H65" s="439"/>
      <c r="I65" s="439"/>
      <c r="J65" s="440" t="s">
        <v>252</v>
      </c>
      <c r="K65" s="441">
        <f>SUM(K8,K24,K35,K51)</f>
        <v>80</v>
      </c>
      <c r="L65" s="463"/>
      <c r="M65" s="438"/>
      <c r="N65" s="439"/>
      <c r="O65" s="439"/>
      <c r="P65" s="439"/>
      <c r="Q65" s="439"/>
      <c r="R65" s="439"/>
      <c r="S65" s="439"/>
      <c r="T65" s="440" t="s">
        <v>253</v>
      </c>
      <c r="U65" s="441">
        <f>SUM(U8:U19,U24:U30,U35:U46,U51:U63)</f>
        <v>14</v>
      </c>
      <c r="V65" s="464"/>
      <c r="X65" s="465"/>
    </row>
    <row r="66" spans="1:24">
      <c r="A66" s="448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X66" s="452"/>
    </row>
    <row r="67" spans="1:24">
      <c r="A67" s="448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X67" s="452"/>
    </row>
    <row r="68" spans="1:24" ht="21" thickBot="1">
      <c r="A68" s="466"/>
      <c r="B68" s="467"/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9"/>
      <c r="X68" s="470"/>
    </row>
    <row r="69" spans="1:24">
      <c r="M69" s="344"/>
      <c r="N69" s="344"/>
      <c r="O69" s="344"/>
      <c r="P69" s="344"/>
      <c r="Q69" s="344"/>
      <c r="R69" s="344"/>
      <c r="S69" s="344"/>
      <c r="T69" s="344"/>
      <c r="U69" s="344"/>
      <c r="V69" s="344"/>
    </row>
    <row r="70" spans="1:24">
      <c r="M70" s="344"/>
      <c r="N70" s="344"/>
      <c r="O70" s="344"/>
      <c r="P70" s="344"/>
      <c r="Q70" s="344"/>
      <c r="R70" s="344"/>
      <c r="S70" s="344"/>
      <c r="T70" s="344"/>
      <c r="U70" s="344"/>
      <c r="V70" s="344"/>
    </row>
    <row r="71" spans="1:24">
      <c r="M71" s="344"/>
      <c r="N71" s="344"/>
      <c r="O71" s="344"/>
      <c r="P71" s="344"/>
      <c r="Q71" s="344"/>
      <c r="R71" s="344"/>
      <c r="S71" s="344"/>
      <c r="T71" s="344"/>
      <c r="U71" s="344"/>
      <c r="V71" s="344"/>
    </row>
  </sheetData>
  <mergeCells count="90">
    <mergeCell ref="G8:I8"/>
    <mergeCell ref="K8:K19"/>
    <mergeCell ref="G9:I9"/>
    <mergeCell ref="J5:J6"/>
    <mergeCell ref="K5:K6"/>
    <mergeCell ref="G13:I13"/>
    <mergeCell ref="G14:I14"/>
    <mergeCell ref="G15:I15"/>
    <mergeCell ref="G10:I10"/>
    <mergeCell ref="G11:I11"/>
    <mergeCell ref="G12:I12"/>
    <mergeCell ref="E22:F22"/>
    <mergeCell ref="G22:I22"/>
    <mergeCell ref="G18:I18"/>
    <mergeCell ref="F19:G19"/>
    <mergeCell ref="B21:D30"/>
    <mergeCell ref="E21:I21"/>
    <mergeCell ref="B5:D19"/>
    <mergeCell ref="E5:I5"/>
    <mergeCell ref="G24:I24"/>
    <mergeCell ref="G28:I28"/>
    <mergeCell ref="G29:I29"/>
    <mergeCell ref="F30:G30"/>
    <mergeCell ref="G16:I16"/>
    <mergeCell ref="G17:I17"/>
    <mergeCell ref="E6:F6"/>
    <mergeCell ref="G6:I6"/>
    <mergeCell ref="G25:I25"/>
    <mergeCell ref="G26:I26"/>
    <mergeCell ref="G27:I27"/>
    <mergeCell ref="B32:D46"/>
    <mergeCell ref="E32:I32"/>
    <mergeCell ref="G42:I42"/>
    <mergeCell ref="G43:I43"/>
    <mergeCell ref="G44:I44"/>
    <mergeCell ref="G38:I38"/>
    <mergeCell ref="G39:I39"/>
    <mergeCell ref="G40:I40"/>
    <mergeCell ref="G41:I41"/>
    <mergeCell ref="E33:F33"/>
    <mergeCell ref="G33:I33"/>
    <mergeCell ref="G35:I35"/>
    <mergeCell ref="G36:I36"/>
    <mergeCell ref="G37:I37"/>
    <mergeCell ref="J43:J44"/>
    <mergeCell ref="F63:H63"/>
    <mergeCell ref="K51:K63"/>
    <mergeCell ref="E48:I48"/>
    <mergeCell ref="G56:I56"/>
    <mergeCell ref="G57:I57"/>
    <mergeCell ref="G45:I45"/>
    <mergeCell ref="F46:G46"/>
    <mergeCell ref="B48:D63"/>
    <mergeCell ref="G51:I51"/>
    <mergeCell ref="G52:I52"/>
    <mergeCell ref="G54:I54"/>
    <mergeCell ref="G55:I55"/>
    <mergeCell ref="E49:G49"/>
    <mergeCell ref="H49:I49"/>
    <mergeCell ref="G58:I58"/>
    <mergeCell ref="G59:I59"/>
    <mergeCell ref="G60:I60"/>
    <mergeCell ref="G61:I61"/>
    <mergeCell ref="G62:I62"/>
    <mergeCell ref="G53:I53"/>
    <mergeCell ref="M5:T5"/>
    <mergeCell ref="M32:T32"/>
    <mergeCell ref="M21:T21"/>
    <mergeCell ref="M48:T48"/>
    <mergeCell ref="J48:J49"/>
    <mergeCell ref="K48:K49"/>
    <mergeCell ref="J32:J33"/>
    <mergeCell ref="K32:K33"/>
    <mergeCell ref="K35:K46"/>
    <mergeCell ref="K24:K30"/>
    <mergeCell ref="J21:J22"/>
    <mergeCell ref="K21:K22"/>
    <mergeCell ref="J16:J17"/>
    <mergeCell ref="U5:U6"/>
    <mergeCell ref="U21:U22"/>
    <mergeCell ref="U32:U33"/>
    <mergeCell ref="U48:U49"/>
    <mergeCell ref="W5:W6"/>
    <mergeCell ref="W7:W16"/>
    <mergeCell ref="W18:W19"/>
    <mergeCell ref="W20:W29"/>
    <mergeCell ref="W31:W32"/>
    <mergeCell ref="W33:W42"/>
    <mergeCell ref="W44:W45"/>
    <mergeCell ref="W46:W56"/>
  </mergeCells>
  <pageMargins left="0" right="0" top="0" bottom="0" header="0.31496062992125984" footer="0.31496062992125984"/>
  <pageSetup scale="3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Valterra Schdule</vt:lpstr>
      <vt:lpstr>Valterra 26 Feb</vt:lpstr>
      <vt:lpstr>Valterra 03 March</vt:lpstr>
      <vt:lpstr>Schedule Production (1)</vt:lpstr>
      <vt:lpstr>Schedule Production (2)</vt:lpstr>
      <vt:lpstr>Schedule Production (Original)</vt:lpstr>
      <vt:lpstr>Schedule (If EVA Delay)</vt:lpstr>
      <vt:lpstr>Man Power</vt:lpstr>
      <vt:lpstr>Schedule Production (4)</vt:lpstr>
      <vt:lpstr>Planning Man Power</vt:lpstr>
      <vt:lpstr>'Man Power'!Print_Area</vt:lpstr>
      <vt:lpstr>'Planning Man Power'!Print_Area</vt:lpstr>
      <vt:lpstr>'Schedule (If EVA Delay)'!Print_Area</vt:lpstr>
      <vt:lpstr>'Schedule Production (1)'!Print_Area</vt:lpstr>
      <vt:lpstr>'Schedule Production (2)'!Print_Area</vt:lpstr>
      <vt:lpstr>'Schedule Production (4)'!Print_Area</vt:lpstr>
      <vt:lpstr>'Schedule Production (Original)'!Print_Area</vt:lpstr>
      <vt:lpstr>'Valterra Schdule'!Print_Area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Yutio Sapnanda</dc:creator>
  <cp:lastModifiedBy>Carson Liang</cp:lastModifiedBy>
  <cp:lastPrinted>2026-03-04T04:44:40Z</cp:lastPrinted>
  <dcterms:created xsi:type="dcterms:W3CDTF">2026-02-23T03:56:44Z</dcterms:created>
  <dcterms:modified xsi:type="dcterms:W3CDTF">2026-03-16T10:19:34Z</dcterms:modified>
</cp:coreProperties>
</file>