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onedometic-my.sharepoint.com/personal/carson_liang_dometic_com/Documents/Desktop/"/>
    </mc:Choice>
  </mc:AlternateContent>
  <xr:revisionPtr revIDLastSave="4" documentId="14_{6069A9C9-697F-455F-B559-E0C1BD745C9E}" xr6:coauthVersionLast="47" xr6:coauthVersionMax="47" xr10:uidLastSave="{671A4EFE-FEC2-459C-B96D-1B135288C0C7}"/>
  <bookViews>
    <workbookView xWindow="-120" yWindow="-120" windowWidth="29040" windowHeight="15720" xr2:uid="{00000000-000D-0000-FFFF-FFFF00000000}"/>
  </bookViews>
  <sheets>
    <sheet name="Sheet1" sheetId="1" r:id="rId1"/>
    <sheet name="Sheet1 (2)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2" i="1" l="1"/>
  <c r="L293" i="1"/>
  <c r="L294" i="1"/>
  <c r="M294" i="1" s="1"/>
  <c r="L295" i="1"/>
  <c r="L296" i="1"/>
  <c r="L297" i="1"/>
  <c r="L291" i="1"/>
  <c r="K296" i="1"/>
  <c r="M296" i="1" s="1"/>
  <c r="I297" i="1"/>
  <c r="K297" i="1"/>
  <c r="M295" i="1"/>
  <c r="M292" i="1"/>
  <c r="M293" i="1"/>
  <c r="K295" i="1"/>
  <c r="K294" i="1"/>
  <c r="J291" i="1"/>
  <c r="I296" i="1"/>
  <c r="I295" i="1"/>
  <c r="I294" i="1"/>
  <c r="I293" i="1"/>
  <c r="I292" i="1"/>
  <c r="I291" i="1"/>
  <c r="M297" i="1" l="1"/>
  <c r="J294" i="1"/>
  <c r="M104" i="1" l="1"/>
  <c r="R103" i="1" l="1"/>
  <c r="L287" i="1" l="1"/>
  <c r="M287" i="1" s="1"/>
  <c r="K288" i="1"/>
  <c r="J287" i="1"/>
  <c r="K287" i="1" s="1"/>
  <c r="E256" i="1" l="1"/>
  <c r="G256" i="1" s="1"/>
  <c r="E233" i="1"/>
  <c r="G233" i="1" s="1"/>
  <c r="G209" i="1"/>
  <c r="E186" i="1"/>
  <c r="E232" i="1" l="1"/>
  <c r="E255" i="1"/>
  <c r="E162" i="1"/>
  <c r="G162" i="1" s="1"/>
  <c r="E139" i="1"/>
  <c r="F232" i="1" l="1"/>
  <c r="G232" i="1" s="1"/>
  <c r="F255" i="1" s="1"/>
  <c r="G255" i="1" s="1"/>
  <c r="G186" i="1"/>
  <c r="U99" i="1"/>
  <c r="F11" i="1" l="1"/>
  <c r="F7" i="1"/>
  <c r="F8" i="1"/>
  <c r="G8" i="1" s="1"/>
  <c r="F29" i="1" s="1"/>
  <c r="G29" i="1" s="1"/>
  <c r="F49" i="1" s="1"/>
  <c r="F6" i="1"/>
  <c r="E251" i="1"/>
  <c r="E250" i="1"/>
  <c r="E228" i="1"/>
  <c r="E227" i="1"/>
  <c r="E180" i="1"/>
  <c r="E179" i="1"/>
  <c r="E92" i="1"/>
  <c r="E91" i="1"/>
  <c r="E136" i="1"/>
  <c r="E135" i="1"/>
  <c r="E158" i="1"/>
  <c r="E157" i="1"/>
  <c r="E115" i="1"/>
  <c r="E114" i="1"/>
  <c r="E70" i="1"/>
  <c r="E69" i="1"/>
  <c r="E28" i="1"/>
  <c r="E27" i="1"/>
  <c r="E6" i="1"/>
  <c r="J292" i="1" s="1"/>
  <c r="K292" i="1" s="1"/>
  <c r="E7" i="1"/>
  <c r="J293" i="1" s="1"/>
  <c r="K293" i="1" s="1"/>
  <c r="G7" i="1" l="1"/>
  <c r="F28" i="1" s="1"/>
  <c r="G28" i="1" s="1"/>
  <c r="F48" i="1" s="1"/>
  <c r="G6" i="1"/>
  <c r="F27" i="1" s="1"/>
  <c r="G27" i="1" s="1"/>
  <c r="F47" i="1" s="1"/>
  <c r="G47" i="1" s="1"/>
  <c r="F69" i="1" s="1"/>
  <c r="G49" i="1" l="1"/>
  <c r="G48" i="1"/>
  <c r="F70" i="1" s="1"/>
  <c r="G69" i="1" l="1"/>
  <c r="F91" i="1" s="1"/>
  <c r="G91" i="1" s="1"/>
  <c r="F114" i="1" s="1"/>
  <c r="F71" i="1"/>
  <c r="M260" i="1" l="1"/>
  <c r="G268" i="1"/>
  <c r="M237" i="1"/>
  <c r="G245" i="1"/>
  <c r="M213" i="1"/>
  <c r="G219" i="1"/>
  <c r="G216" i="1"/>
  <c r="M190" i="1"/>
  <c r="G198" i="1"/>
  <c r="G222" i="1" s="1"/>
  <c r="M166" i="1"/>
  <c r="G276" i="1"/>
  <c r="E109" i="1" l="1"/>
  <c r="E106" i="1"/>
  <c r="E103" i="1"/>
  <c r="E96" i="1"/>
  <c r="E95" i="1"/>
  <c r="E94" i="1"/>
  <c r="E90" i="1"/>
  <c r="K291" i="1" s="1"/>
  <c r="M291" i="1" s="1"/>
  <c r="E58" i="1"/>
  <c r="E102" i="1" s="1"/>
  <c r="E60" i="1"/>
  <c r="E105" i="1" s="1"/>
  <c r="E63" i="1"/>
  <c r="E108" i="1" s="1"/>
  <c r="E64" i="1"/>
  <c r="G64" i="1" s="1"/>
  <c r="E57" i="1"/>
  <c r="E101" i="1" s="1"/>
  <c r="M56" i="1"/>
  <c r="G12" i="1"/>
  <c r="M144" i="1"/>
  <c r="M122" i="1"/>
  <c r="E211" i="2"/>
  <c r="E201" i="2"/>
  <c r="E200" i="2"/>
  <c r="E199" i="2"/>
  <c r="E198" i="2"/>
  <c r="E197" i="2"/>
  <c r="E196" i="2"/>
  <c r="E195" i="2"/>
  <c r="E192" i="2"/>
  <c r="E191" i="2"/>
  <c r="E190" i="2"/>
  <c r="E189" i="2"/>
  <c r="E188" i="2"/>
  <c r="E175" i="2"/>
  <c r="E156" i="2"/>
  <c r="E137" i="2"/>
  <c r="G128" i="2"/>
  <c r="G127" i="2"/>
  <c r="G126" i="2"/>
  <c r="G125" i="2"/>
  <c r="G124" i="2"/>
  <c r="G123" i="2"/>
  <c r="G122" i="2"/>
  <c r="G121" i="2"/>
  <c r="G118" i="2"/>
  <c r="G117" i="2"/>
  <c r="G115" i="2"/>
  <c r="G114" i="2"/>
  <c r="G109" i="2"/>
  <c r="E100" i="2"/>
  <c r="G90" i="2"/>
  <c r="E81" i="2"/>
  <c r="G72" i="2"/>
  <c r="M64" i="2"/>
  <c r="E63" i="2"/>
  <c r="G53" i="2"/>
  <c r="M45" i="2"/>
  <c r="E44" i="2"/>
  <c r="G35" i="2"/>
  <c r="G33" i="2"/>
  <c r="F51" i="2" s="1"/>
  <c r="G51" i="2" s="1"/>
  <c r="F88" i="2" s="1"/>
  <c r="G88" i="2" s="1"/>
  <c r="G32" i="2"/>
  <c r="F50" i="2" s="1"/>
  <c r="G50" i="2" s="1"/>
  <c r="F87" i="2" s="1"/>
  <c r="G87" i="2" s="1"/>
  <c r="G31" i="2"/>
  <c r="G23" i="2"/>
  <c r="F40" i="2" s="1"/>
  <c r="G40" i="2" s="1"/>
  <c r="F77" i="2" s="1"/>
  <c r="G77" i="2" s="1"/>
  <c r="G18" i="2"/>
  <c r="G17" i="2"/>
  <c r="F34" i="2" s="1"/>
  <c r="G34" i="2" s="1"/>
  <c r="F52" i="2" s="1"/>
  <c r="G52" i="2" s="1"/>
  <c r="G16" i="2"/>
  <c r="F70" i="2" s="1"/>
  <c r="G70" i="2" s="1"/>
  <c r="F107" i="2" s="1"/>
  <c r="G107" i="2" s="1"/>
  <c r="G15" i="2"/>
  <c r="F69" i="2" s="1"/>
  <c r="G69" i="2" s="1"/>
  <c r="F106" i="2" s="1"/>
  <c r="G106" i="2" s="1"/>
  <c r="G14" i="2"/>
  <c r="F30" i="2" s="1"/>
  <c r="G30" i="2" s="1"/>
  <c r="F49" i="2" s="1"/>
  <c r="G49" i="2" s="1"/>
  <c r="F68" i="2" s="1"/>
  <c r="G68" i="2" s="1"/>
  <c r="F86" i="2" s="1"/>
  <c r="G86" i="2" s="1"/>
  <c r="F105" i="2" s="1"/>
  <c r="G105" i="2" s="1"/>
  <c r="M13" i="2"/>
  <c r="F13" i="2"/>
  <c r="G13" i="2" s="1"/>
  <c r="F29" i="2" s="1"/>
  <c r="G29" i="2" s="1"/>
  <c r="F48" i="2" s="1"/>
  <c r="G48" i="2" s="1"/>
  <c r="F67" i="2" s="1"/>
  <c r="G67" i="2" s="1"/>
  <c r="F85" i="2" s="1"/>
  <c r="G85" i="2" s="1"/>
  <c r="F104" i="2" s="1"/>
  <c r="G104" i="2" s="1"/>
  <c r="G12" i="2"/>
  <c r="F28" i="2" s="1"/>
  <c r="G28" i="2" s="1"/>
  <c r="F47" i="2" s="1"/>
  <c r="G47" i="2" s="1"/>
  <c r="F66" i="2" s="1"/>
  <c r="G66" i="2" s="1"/>
  <c r="F84" i="2" s="1"/>
  <c r="G84" i="2" s="1"/>
  <c r="F103" i="2" s="1"/>
  <c r="G103" i="2" s="1"/>
  <c r="G11" i="2"/>
  <c r="F27" i="2" s="1"/>
  <c r="G27" i="2" s="1"/>
  <c r="F46" i="2" s="1"/>
  <c r="G46" i="2" s="1"/>
  <c r="F65" i="2" s="1"/>
  <c r="G65" i="2" s="1"/>
  <c r="F83" i="2" s="1"/>
  <c r="G83" i="2" s="1"/>
  <c r="F102" i="2" s="1"/>
  <c r="G102" i="2" s="1"/>
  <c r="G10" i="2"/>
  <c r="F26" i="2" s="1"/>
  <c r="G26" i="2" s="1"/>
  <c r="F43" i="2" s="1"/>
  <c r="G43" i="2" s="1"/>
  <c r="G9" i="2"/>
  <c r="F25" i="2" s="1"/>
  <c r="G25" i="2" s="1"/>
  <c r="F42" i="2" s="1"/>
  <c r="G42" i="2" s="1"/>
  <c r="G8" i="2"/>
  <c r="F24" i="2" s="1"/>
  <c r="G24" i="2" s="1"/>
  <c r="F41" i="2" s="1"/>
  <c r="G41" i="2" s="1"/>
  <c r="F60" i="2" s="1"/>
  <c r="G60" i="2" s="1"/>
  <c r="F78" i="2" s="1"/>
  <c r="G78" i="2" s="1"/>
  <c r="F97" i="2" s="1"/>
  <c r="G97" i="2" s="1"/>
  <c r="F116" i="2" s="1"/>
  <c r="G116" i="2" s="1"/>
  <c r="G7" i="2"/>
  <c r="F59" i="2" s="1"/>
  <c r="G59" i="2" s="1"/>
  <c r="F96" i="2" s="1"/>
  <c r="G96" i="2" s="1"/>
  <c r="G6" i="2"/>
  <c r="F58" i="2" s="1"/>
  <c r="G58" i="2" s="1"/>
  <c r="F95" i="2" s="1"/>
  <c r="G95" i="2" s="1"/>
  <c r="G5" i="2"/>
  <c r="F22" i="2" s="1"/>
  <c r="G22" i="2" s="1"/>
  <c r="F39" i="2" s="1"/>
  <c r="G39" i="2" s="1"/>
  <c r="F57" i="2" s="1"/>
  <c r="G57" i="2" s="1"/>
  <c r="F76" i="2" s="1"/>
  <c r="G76" i="2" s="1"/>
  <c r="F94" i="2" s="1"/>
  <c r="G94" i="2" s="1"/>
  <c r="F113" i="2" s="1"/>
  <c r="G113" i="2" s="1"/>
  <c r="E193" i="2" l="1"/>
  <c r="F89" i="2"/>
  <c r="G89" i="2" s="1"/>
  <c r="F108" i="2" s="1"/>
  <c r="G108" i="2" s="1"/>
  <c r="F71" i="2"/>
  <c r="G71" i="2" s="1"/>
  <c r="F62" i="2"/>
  <c r="G62" i="2" s="1"/>
  <c r="F80" i="2"/>
  <c r="G80" i="2" s="1"/>
  <c r="F99" i="2" s="1"/>
  <c r="G99" i="2" s="1"/>
  <c r="F79" i="2"/>
  <c r="G79" i="2" s="1"/>
  <c r="F98" i="2" s="1"/>
  <c r="G98" i="2" s="1"/>
  <c r="F61" i="2"/>
  <c r="G61" i="2" s="1"/>
  <c r="E239" i="1"/>
  <c r="E240" i="1"/>
  <c r="E241" i="1"/>
  <c r="E242" i="1"/>
  <c r="E243" i="1"/>
  <c r="E244" i="1"/>
  <c r="E238" i="1"/>
  <c r="E230" i="1"/>
  <c r="E231" i="1"/>
  <c r="E234" i="1"/>
  <c r="E235" i="1"/>
  <c r="E226" i="1"/>
  <c r="E259" i="1"/>
  <c r="E189" i="1"/>
  <c r="E165" i="1"/>
  <c r="E236" i="1" l="1"/>
  <c r="G285" i="1"/>
  <c r="G283" i="1"/>
  <c r="G282" i="1"/>
  <c r="G280" i="1"/>
  <c r="G273" i="1"/>
  <c r="G152" i="1"/>
  <c r="E143" i="1"/>
  <c r="G130" i="1"/>
  <c r="F174" i="1" s="1"/>
  <c r="G174" i="1" s="1"/>
  <c r="E121" i="1"/>
  <c r="M100" i="1" l="1"/>
  <c r="G109" i="1"/>
  <c r="G99" i="1"/>
  <c r="G86" i="1"/>
  <c r="M17" i="1"/>
  <c r="F17" i="1" s="1"/>
  <c r="M77" i="1"/>
  <c r="G42" i="1"/>
  <c r="G30" i="1"/>
  <c r="G38" i="1"/>
  <c r="F61" i="1" s="1"/>
  <c r="G61" i="1" s="1"/>
  <c r="F82" i="1" s="1"/>
  <c r="G82" i="1" s="1"/>
  <c r="F106" i="1" s="1"/>
  <c r="G39" i="1"/>
  <c r="F83" i="1" s="1"/>
  <c r="G40" i="1"/>
  <c r="F76" i="1" l="1"/>
  <c r="G76" i="1" s="1"/>
  <c r="F72" i="1"/>
  <c r="G72" i="1" s="1"/>
  <c r="F84" i="1"/>
  <c r="G84" i="1" s="1"/>
  <c r="G83" i="1"/>
  <c r="F117" i="1" l="1"/>
  <c r="G117" i="1" s="1"/>
  <c r="F127" i="1"/>
  <c r="G127" i="1" s="1"/>
  <c r="F128" i="1"/>
  <c r="G128" i="1" s="1"/>
  <c r="G9" i="1"/>
  <c r="G10" i="1"/>
  <c r="F51" i="1" s="1"/>
  <c r="G11" i="1"/>
  <c r="G13" i="1"/>
  <c r="F32" i="1" s="1"/>
  <c r="G32" i="1" s="1"/>
  <c r="F53" i="1" s="1"/>
  <c r="G53" i="1" s="1"/>
  <c r="F74" i="1" s="1"/>
  <c r="G74" i="1" s="1"/>
  <c r="G14" i="1"/>
  <c r="F33" i="1" s="1"/>
  <c r="G33" i="1" s="1"/>
  <c r="G15" i="1"/>
  <c r="F34" i="1" s="1"/>
  <c r="G34" i="1" s="1"/>
  <c r="F57" i="1" s="1"/>
  <c r="G57" i="1" s="1"/>
  <c r="F78" i="1" s="1"/>
  <c r="G16" i="1"/>
  <c r="F35" i="1" s="1"/>
  <c r="G35" i="1" s="1"/>
  <c r="F58" i="1" s="1"/>
  <c r="G58" i="1" s="1"/>
  <c r="F79" i="1" s="1"/>
  <c r="G17" i="1"/>
  <c r="G18" i="1"/>
  <c r="F37" i="1" s="1"/>
  <c r="G37" i="1" s="1"/>
  <c r="F60" i="1" s="1"/>
  <c r="G60" i="1" s="1"/>
  <c r="F81" i="1" s="1"/>
  <c r="G19" i="1"/>
  <c r="G106" i="1" s="1"/>
  <c r="F149" i="1" s="1"/>
  <c r="G20" i="1"/>
  <c r="G21" i="1"/>
  <c r="G22" i="1"/>
  <c r="G5" i="1"/>
  <c r="F26" i="1" s="1"/>
  <c r="G26" i="1" s="1"/>
  <c r="F46" i="1" s="1"/>
  <c r="G46" i="1" s="1"/>
  <c r="F172" i="1" l="1"/>
  <c r="G172" i="1" s="1"/>
  <c r="F243" i="1" s="1"/>
  <c r="G243" i="1" s="1"/>
  <c r="F266" i="1" s="1"/>
  <c r="G266" i="1" s="1"/>
  <c r="F160" i="1"/>
  <c r="G160" i="1" s="1"/>
  <c r="F230" i="1" s="1"/>
  <c r="G230" i="1" s="1"/>
  <c r="F253" i="1" s="1"/>
  <c r="G253" i="1" s="1"/>
  <c r="G149" i="1"/>
  <c r="F54" i="1"/>
  <c r="G54" i="1" s="1"/>
  <c r="F75" i="1" s="1"/>
  <c r="G75" i="1" s="1"/>
  <c r="F98" i="1" s="1"/>
  <c r="G98" i="1" s="1"/>
  <c r="F120" i="1" s="1"/>
  <c r="F41" i="1"/>
  <c r="G41" i="1" s="1"/>
  <c r="F63" i="1"/>
  <c r="G63" i="1" s="1"/>
  <c r="F85" i="1" s="1"/>
  <c r="G85" i="1" s="1"/>
  <c r="F62" i="1"/>
  <c r="G62" i="1" s="1"/>
  <c r="F107" i="1" s="1"/>
  <c r="G107" i="1" s="1"/>
  <c r="F31" i="1"/>
  <c r="G31" i="1" s="1"/>
  <c r="F52" i="1" s="1"/>
  <c r="G52" i="1" s="1"/>
  <c r="F73" i="1" s="1"/>
  <c r="G51" i="1"/>
  <c r="F95" i="1" s="1"/>
  <c r="F50" i="1"/>
  <c r="G50" i="1" s="1"/>
  <c r="F94" i="1" s="1"/>
  <c r="F97" i="1"/>
  <c r="G97" i="1" s="1"/>
  <c r="F119" i="1" s="1"/>
  <c r="G78" i="1"/>
  <c r="G81" i="1"/>
  <c r="F105" i="1" s="1"/>
  <c r="F68" i="1"/>
  <c r="G68" i="1" s="1"/>
  <c r="G79" i="1"/>
  <c r="F36" i="1"/>
  <c r="G36" i="1" s="1"/>
  <c r="F59" i="1" s="1"/>
  <c r="G59" i="1" s="1"/>
  <c r="F80" i="1" s="1"/>
  <c r="F195" i="1" l="1"/>
  <c r="G195" i="1" s="1"/>
  <c r="F218" i="1" s="1"/>
  <c r="G218" i="1" s="1"/>
  <c r="F171" i="1"/>
  <c r="G171" i="1" s="1"/>
  <c r="F242" i="1" s="1"/>
  <c r="G242" i="1" s="1"/>
  <c r="F265" i="1" s="1"/>
  <c r="G265" i="1" s="1"/>
  <c r="G94" i="1"/>
  <c r="G70" i="1"/>
  <c r="F92" i="1" s="1"/>
  <c r="G95" i="1"/>
  <c r="F139" i="1" s="1"/>
  <c r="G139" i="1" s="1"/>
  <c r="G71" i="1"/>
  <c r="F93" i="1" s="1"/>
  <c r="F150" i="1"/>
  <c r="G150" i="1" s="1"/>
  <c r="F102" i="1"/>
  <c r="G102" i="1" s="1"/>
  <c r="F90" i="1"/>
  <c r="G90" i="1" s="1"/>
  <c r="G105" i="1"/>
  <c r="F101" i="1"/>
  <c r="G101" i="1" s="1"/>
  <c r="G73" i="1"/>
  <c r="F96" i="1" s="1"/>
  <c r="G96" i="1" s="1"/>
  <c r="G120" i="1"/>
  <c r="F108" i="1"/>
  <c r="G108" i="1" s="1"/>
  <c r="F129" i="1" s="1"/>
  <c r="G129" i="1" s="1"/>
  <c r="G119" i="1"/>
  <c r="G80" i="1"/>
  <c r="F103" i="1" s="1"/>
  <c r="F196" i="1" l="1"/>
  <c r="G196" i="1" s="1"/>
  <c r="F184" i="1"/>
  <c r="G184" i="1" s="1"/>
  <c r="F207" i="1" s="1"/>
  <c r="G207" i="1" s="1"/>
  <c r="F138" i="1"/>
  <c r="G138" i="1" s="1"/>
  <c r="G93" i="1"/>
  <c r="F116" i="1" s="1"/>
  <c r="G116" i="1" s="1"/>
  <c r="F137" i="1" s="1"/>
  <c r="G114" i="1"/>
  <c r="F135" i="1" s="1"/>
  <c r="G135" i="1" s="1"/>
  <c r="G92" i="1"/>
  <c r="F115" i="1" s="1"/>
  <c r="G115" i="1" s="1"/>
  <c r="F220" i="1"/>
  <c r="G220" i="1" s="1"/>
  <c r="F126" i="1"/>
  <c r="G126" i="1" s="1"/>
  <c r="F151" i="1"/>
  <c r="G151" i="1" s="1"/>
  <c r="F124" i="1"/>
  <c r="G124" i="1" s="1"/>
  <c r="F113" i="1"/>
  <c r="G113" i="1" s="1"/>
  <c r="F134" i="1" s="1"/>
  <c r="G134" i="1" s="1"/>
  <c r="F142" i="1"/>
  <c r="G142" i="1" s="1"/>
  <c r="F123" i="1"/>
  <c r="G123" i="1" s="1"/>
  <c r="F141" i="1"/>
  <c r="G141" i="1" s="1"/>
  <c r="G103" i="1"/>
  <c r="F125" i="1" s="1"/>
  <c r="F118" i="1"/>
  <c r="G118" i="1" s="1"/>
  <c r="G274" i="1"/>
  <c r="F182" i="1" l="1"/>
  <c r="G182" i="1" s="1"/>
  <c r="F206" i="1" s="1"/>
  <c r="G206" i="1" s="1"/>
  <c r="F163" i="1"/>
  <c r="G163" i="1" s="1"/>
  <c r="F234" i="1" s="1"/>
  <c r="G234" i="1" s="1"/>
  <c r="F257" i="1" s="1"/>
  <c r="G257" i="1" s="1"/>
  <c r="G284" i="1"/>
  <c r="F173" i="1"/>
  <c r="F140" i="1"/>
  <c r="G140" i="1" s="1"/>
  <c r="F161" i="1"/>
  <c r="F164" i="1"/>
  <c r="G164" i="1" s="1"/>
  <c r="F235" i="1" s="1"/>
  <c r="G235" i="1" s="1"/>
  <c r="F258" i="1" s="1"/>
  <c r="G258" i="1" s="1"/>
  <c r="F157" i="1"/>
  <c r="G157" i="1" s="1"/>
  <c r="F179" i="1" s="1"/>
  <c r="G179" i="1" s="1"/>
  <c r="F203" i="1" s="1"/>
  <c r="F156" i="1"/>
  <c r="G156" i="1" s="1"/>
  <c r="F178" i="1" s="1"/>
  <c r="G178" i="1" s="1"/>
  <c r="F202" i="1" s="1"/>
  <c r="G137" i="1"/>
  <c r="F136" i="1"/>
  <c r="G136" i="1" s="1"/>
  <c r="F145" i="1"/>
  <c r="G145" i="1" s="1"/>
  <c r="F146" i="1"/>
  <c r="G146" i="1" s="1"/>
  <c r="F148" i="1"/>
  <c r="G148" i="1" s="1"/>
  <c r="G125" i="1"/>
  <c r="F147" i="1" s="1"/>
  <c r="F167" i="1" l="1"/>
  <c r="G173" i="1"/>
  <c r="F197" i="1" s="1"/>
  <c r="G197" i="1" s="1"/>
  <c r="F221" i="1" s="1"/>
  <c r="G221" i="1" s="1"/>
  <c r="F244" i="1" s="1"/>
  <c r="G244" i="1" s="1"/>
  <c r="F267" i="1" s="1"/>
  <c r="G267" i="1" s="1"/>
  <c r="F168" i="1"/>
  <c r="F170" i="1"/>
  <c r="F158" i="1"/>
  <c r="F159" i="1"/>
  <c r="G159" i="1" s="1"/>
  <c r="F181" i="1" s="1"/>
  <c r="G181" i="1" s="1"/>
  <c r="F205" i="1" s="1"/>
  <c r="G205" i="1" s="1"/>
  <c r="F252" i="1" s="1"/>
  <c r="G252" i="1" s="1"/>
  <c r="G202" i="1"/>
  <c r="F226" i="1"/>
  <c r="G226" i="1" s="1"/>
  <c r="F249" i="1" s="1"/>
  <c r="G249" i="1" s="1"/>
  <c r="F272" i="1" s="1"/>
  <c r="G272" i="1" s="1"/>
  <c r="G203" i="1"/>
  <c r="G147" i="1"/>
  <c r="G158" i="1" l="1"/>
  <c r="F180" i="1" s="1"/>
  <c r="G180" i="1" s="1"/>
  <c r="F204" i="1" s="1"/>
  <c r="G204" i="1" s="1"/>
  <c r="T158" i="1"/>
  <c r="F169" i="1"/>
  <c r="G169" i="1" s="1"/>
  <c r="F193" i="1" s="1"/>
  <c r="G193" i="1" s="1"/>
  <c r="F240" i="1" s="1"/>
  <c r="G240" i="1" s="1"/>
  <c r="F263" i="1" s="1"/>
  <c r="G263" i="1" s="1"/>
  <c r="F227" i="1"/>
  <c r="G227" i="1" s="1"/>
  <c r="F250" i="1"/>
  <c r="G250" i="1" s="1"/>
  <c r="F228" i="1"/>
  <c r="G228" i="1" s="1"/>
  <c r="F251" i="1" s="1"/>
  <c r="G251" i="1" s="1"/>
  <c r="F229" i="1"/>
  <c r="G229" i="1" s="1"/>
  <c r="G167" i="1" l="1"/>
  <c r="F191" i="1" s="1"/>
  <c r="G191" i="1" s="1"/>
  <c r="F214" i="1" s="1"/>
  <c r="G214" i="1" s="1"/>
  <c r="F238" i="1" s="1"/>
  <c r="G238" i="1" s="1"/>
  <c r="F261" i="1" s="1"/>
  <c r="G261" i="1" s="1"/>
  <c r="F278" i="1" s="1"/>
  <c r="G278" i="1" s="1"/>
  <c r="G168" i="1"/>
  <c r="F192" i="1" s="1"/>
  <c r="G192" i="1" s="1"/>
  <c r="F215" i="1" s="1"/>
  <c r="G215" i="1" s="1"/>
  <c r="F239" i="1" s="1"/>
  <c r="G239" i="1" s="1"/>
  <c r="F262" i="1" s="1"/>
  <c r="G262" i="1" s="1"/>
  <c r="F279" i="1" s="1"/>
  <c r="G279" i="1" s="1"/>
  <c r="G170" i="1"/>
  <c r="F194" i="1" s="1"/>
  <c r="G194" i="1" s="1"/>
  <c r="F217" i="1" s="1"/>
  <c r="G217" i="1" s="1"/>
  <c r="F241" i="1" s="1"/>
  <c r="G241" i="1" s="1"/>
  <c r="F264" i="1" s="1"/>
  <c r="G264" i="1" s="1"/>
  <c r="F281" i="1" s="1"/>
  <c r="G281" i="1" s="1"/>
  <c r="G161" i="1"/>
  <c r="F185" i="1" s="1"/>
  <c r="G185" i="1" s="1"/>
  <c r="F208" i="1" l="1"/>
  <c r="G208" i="1" s="1"/>
  <c r="F231" i="1" s="1"/>
  <c r="G231" i="1" s="1"/>
  <c r="F254" i="1" s="1"/>
  <c r="G254" i="1" s="1"/>
  <c r="F275" i="1" s="1"/>
  <c r="G27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Xuming Cai</author>
    <author>Yutio Sapnanda</author>
    <author>Erniwaty</author>
    <author>Carson Liang</author>
  </authors>
  <commentList>
    <comment ref="I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Xuming Cai:</t>
        </r>
        <r>
          <rPr>
            <sz val="9"/>
            <color indexed="81"/>
            <rFont val="Tahoma"/>
            <family val="2"/>
          </rPr>
          <t xml:space="preserve">
Sky PO date to suppliers
</t>
        </r>
      </text>
    </comment>
    <comment ref="Q77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Need Check Custom Process to Received Before Long Holiday</t>
        </r>
      </text>
    </comment>
    <comment ref="Q80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Eta Port, 12 Mar.
Need Prepared Document for Custom Process &amp; Process Payment PIB</t>
        </r>
      </text>
    </comment>
    <comment ref="Q104" authorId="1" shapeId="0" xr:uid="{00000000-0006-0000-0000-000004000000}">
      <text>
        <r>
          <rPr>
            <b/>
            <sz val="9"/>
            <color indexed="81"/>
            <rFont val="Tahoma"/>
            <charset val="1"/>
          </rPr>
          <t>Need Confirm with Supplier &amp; Fedex for Delivery Schedule</t>
        </r>
      </text>
    </comment>
    <comment ref="Q125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Need Confirm Delivery Date</t>
        </r>
      </text>
    </comment>
    <comment ref="P147" authorId="1" shapeId="0" xr:uid="{00000000-0006-0000-0000-000006000000}">
      <text>
        <r>
          <rPr>
            <b/>
            <sz val="9"/>
            <color indexed="81"/>
            <rFont val="Tahoma"/>
            <charset val="1"/>
          </rPr>
          <t>Finish on 18th Mar.</t>
        </r>
      </text>
    </comment>
    <comment ref="K152" authorId="2" shapeId="0" xr:uid="{00000000-0006-0000-0000-000007000000}">
      <text>
        <r>
          <rPr>
            <sz val="9"/>
            <color indexed="81"/>
            <rFont val="Tahoma"/>
            <family val="2"/>
          </rPr>
          <t xml:space="preserve">For Gilang Wijaya, Already Paid DP 50%
should be enough for 3 PO
</t>
        </r>
      </text>
    </comment>
    <comment ref="A154" authorId="1" shapeId="0" xr:uid="{00000000-0006-0000-0000-000008000000}">
      <text>
        <r>
          <rPr>
            <b/>
            <sz val="9"/>
            <color indexed="81"/>
            <rFont val="Tahoma"/>
            <charset val="1"/>
          </rPr>
          <t>Yutio Sapnanda:</t>
        </r>
        <r>
          <rPr>
            <sz val="9"/>
            <color indexed="81"/>
            <rFont val="Tahoma"/>
            <charset val="1"/>
          </rPr>
          <t xml:space="preserve">
Start of Phase 2 Order</t>
        </r>
      </text>
    </comment>
    <comment ref="A167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Need Confirm Supplier with Adhelia</t>
        </r>
      </text>
    </comment>
    <comment ref="G291" authorId="3" shapeId="0" xr:uid="{F465C34A-C5B4-444D-84BF-8C59B589456C}">
      <text>
        <r>
          <rPr>
            <b/>
            <sz val="9"/>
            <color indexed="81"/>
            <rFont val="Tahoma"/>
            <family val="2"/>
          </rPr>
          <t>Carson Liang:</t>
        </r>
        <r>
          <rPr>
            <sz val="9"/>
            <color indexed="81"/>
            <rFont val="Tahoma"/>
            <family val="2"/>
          </rPr>
          <t xml:space="preserve">
Not included - Sky consumped 50pcs 40W model (cel x 584pcs) in May 20, 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Xuming Cai</author>
    <author>Erniwaty</author>
  </authors>
  <commentList>
    <comment ref="I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Xuming Cai:</t>
        </r>
        <r>
          <rPr>
            <sz val="9"/>
            <color indexed="81"/>
            <rFont val="Tahoma"/>
            <family val="2"/>
          </rPr>
          <t xml:space="preserve">
Sky PO date to suppliers
</t>
        </r>
      </text>
    </comment>
    <comment ref="K58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SKY PO only 2100 Qty for TPT, Not enough to fulfill this Order</t>
        </r>
      </text>
    </comment>
    <comment ref="K72" authorId="1" shapeId="0" xr:uid="{00000000-0006-0000-0100-000003000000}">
      <text>
        <r>
          <rPr>
            <sz val="9"/>
            <color indexed="81"/>
            <rFont val="Tahoma"/>
            <family val="2"/>
          </rPr>
          <t xml:space="preserve">For Gilang Wijaya, Already Paid DP 50%
should be enough for 3 PO
</t>
        </r>
      </text>
    </comment>
    <comment ref="K77" authorId="1" shapeId="0" xr:uid="{00000000-0006-0000-0100-000004000000}">
      <text>
        <r>
          <rPr>
            <sz val="9"/>
            <color indexed="81"/>
            <rFont val="Tahoma"/>
            <family val="2"/>
          </rPr>
          <t>TPT should not be enough for this PO</t>
        </r>
      </text>
    </comment>
    <comment ref="K95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SKY PO only 2100 Qty for TPT, Not enough to fulfill this Order</t>
        </r>
      </text>
    </comment>
    <comment ref="K109" authorId="1" shapeId="0" xr:uid="{00000000-0006-0000-0100-000006000000}">
      <text>
        <r>
          <rPr>
            <sz val="9"/>
            <color indexed="81"/>
            <rFont val="Tahoma"/>
            <family val="2"/>
          </rPr>
          <t xml:space="preserve">For Gilang Wijaya, Already Paid DP 50%
should be enough for 3 PO
</t>
        </r>
      </text>
    </comment>
    <comment ref="K165" authorId="1" shapeId="0" xr:uid="{00000000-0006-0000-0100-000007000000}">
      <text>
        <r>
          <rPr>
            <sz val="9"/>
            <color indexed="81"/>
            <rFont val="Tahoma"/>
            <family val="2"/>
          </rPr>
          <t xml:space="preserve">For Gilang Wijaya, Already Paid DP 50%
should be enough for 3 PO
</t>
        </r>
      </text>
    </comment>
    <comment ref="K184" authorId="1" shapeId="0" xr:uid="{00000000-0006-0000-0100-000008000000}">
      <text>
        <r>
          <rPr>
            <sz val="9"/>
            <color indexed="81"/>
            <rFont val="Tahoma"/>
            <family val="2"/>
          </rPr>
          <t xml:space="preserve">For Gilang Wijaya, Already Paid DP 50%
should be enough for 3 PO
</t>
        </r>
      </text>
    </comment>
  </commentList>
</comments>
</file>

<file path=xl/sharedStrings.xml><?xml version="1.0" encoding="utf-8"?>
<sst xmlns="http://schemas.openxmlformats.org/spreadsheetml/2006/main" count="2428" uniqueCount="226">
  <si>
    <t>Cell</t>
  </si>
  <si>
    <t>TPT</t>
  </si>
  <si>
    <t>Supplier</t>
  </si>
  <si>
    <t xml:space="preserve">Solar ribbon </t>
  </si>
  <si>
    <t>QPA</t>
  </si>
  <si>
    <t>HZDongke</t>
  </si>
  <si>
    <t xml:space="preserve">judy@hzdongke.com </t>
  </si>
  <si>
    <t>SKY PO Qty</t>
  </si>
  <si>
    <t>SKY PO#</t>
  </si>
  <si>
    <t xml:space="preserve">460pcs 35W PO-609804 </t>
  </si>
  <si>
    <t xml:space="preserve">1000pcs 50W PO-609684 </t>
  </si>
  <si>
    <t>SKY PO Date</t>
  </si>
  <si>
    <t>John Dong</t>
  </si>
  <si>
    <t>Contact</t>
  </si>
  <si>
    <t>Email</t>
  </si>
  <si>
    <t>15858119899@139.com</t>
  </si>
  <si>
    <t>Judy Cai</t>
  </si>
  <si>
    <t>Junction Box</t>
  </si>
  <si>
    <t>Sky PO Status &amp; Production LT</t>
  </si>
  <si>
    <t xml:space="preserve">1000pcs 50W PO-609784 </t>
  </si>
  <si>
    <t xml:space="preserve">1000pcs 50W PO-609880 </t>
  </si>
  <si>
    <t xml:space="preserve">1500pcs110W PO-609614 </t>
  </si>
  <si>
    <t xml:space="preserve">1000pcs 50W PO-609900 </t>
  </si>
  <si>
    <t>2000pcs 35W PO-609915</t>
  </si>
  <si>
    <t>5pcs 30W 3-diode PO-609915</t>
  </si>
  <si>
    <t>2000pcs 50W PO-609926</t>
  </si>
  <si>
    <t>SKY Build Date</t>
  </si>
  <si>
    <t>SKY Ship Date</t>
  </si>
  <si>
    <t>1000pcs 50W PO-609945</t>
  </si>
  <si>
    <t>Material Location</t>
  </si>
  <si>
    <t>Silicone</t>
  </si>
  <si>
    <t>Shipping Method</t>
  </si>
  <si>
    <t>AWB# or B/L#</t>
  </si>
  <si>
    <t>ETA @SKY</t>
  </si>
  <si>
    <t>Valterra PO Date</t>
  </si>
  <si>
    <t>Zhejiang Zec</t>
  </si>
  <si>
    <t xml:space="preserve">Huizhou Baojun </t>
  </si>
  <si>
    <t>China Ruis Industrial</t>
  </si>
  <si>
    <t>Ben</t>
  </si>
  <si>
    <t>ben@hongxinxu.com</t>
  </si>
  <si>
    <t>emma@jsbaojun.cn</t>
  </si>
  <si>
    <t>Emma</t>
  </si>
  <si>
    <t>Material</t>
  </si>
  <si>
    <t>Gilang Wijaya (Local)</t>
  </si>
  <si>
    <t>Hennan</t>
  </si>
  <si>
    <t>Go Power</t>
  </si>
  <si>
    <t>PO 009</t>
  </si>
  <si>
    <t>EVA (Front)</t>
  </si>
  <si>
    <t>EVA (Back)</t>
  </si>
  <si>
    <t>Air</t>
  </si>
  <si>
    <t>SKY Warehouse</t>
  </si>
  <si>
    <t>PO 090</t>
  </si>
  <si>
    <t>PO 017</t>
  </si>
  <si>
    <t>PO 010</t>
  </si>
  <si>
    <t>Supplier Warehouse</t>
  </si>
  <si>
    <t>Fedex Warehouse</t>
  </si>
  <si>
    <t>5-7 Days</t>
  </si>
  <si>
    <t>4 Days</t>
  </si>
  <si>
    <t>Material Production Lead Time</t>
  </si>
  <si>
    <t>Backsheet PET</t>
  </si>
  <si>
    <t>Stock</t>
  </si>
  <si>
    <t>Label Silver</t>
  </si>
  <si>
    <t>Yihe Industry (Local)</t>
  </si>
  <si>
    <t>Grace</t>
  </si>
  <si>
    <t>PO 008</t>
  </si>
  <si>
    <t>High Temp Tape</t>
  </si>
  <si>
    <t>Mandala Hiba Buana</t>
  </si>
  <si>
    <t>Busbar</t>
  </si>
  <si>
    <t>Sunby</t>
  </si>
  <si>
    <t>PO 200</t>
  </si>
  <si>
    <t>7 Days</t>
  </si>
  <si>
    <t>Ready Stock</t>
  </si>
  <si>
    <t>Master Box</t>
  </si>
  <si>
    <t>Backsheet WCPC</t>
  </si>
  <si>
    <t>PO 112</t>
  </si>
  <si>
    <t>Local</t>
  </si>
  <si>
    <t xml:space="preserve">2000pcs 35W PO-609820 </t>
  </si>
  <si>
    <t>Part 1</t>
  </si>
  <si>
    <t>Part 2</t>
  </si>
  <si>
    <t>PO 111</t>
  </si>
  <si>
    <t>Done</t>
  </si>
  <si>
    <t>Confrim with Fedex</t>
  </si>
  <si>
    <t>Supplier Production</t>
  </si>
  <si>
    <t>PO 013</t>
  </si>
  <si>
    <t>Henan Top Run</t>
  </si>
  <si>
    <t>toprungrace@sina.cn</t>
  </si>
  <si>
    <t>Payment From SKY</t>
  </si>
  <si>
    <t>Fedex Warehouse China</t>
  </si>
  <si>
    <t>Maggie</t>
  </si>
  <si>
    <t>Sea</t>
  </si>
  <si>
    <t>PO 019</t>
  </si>
  <si>
    <t>Confrim with FTN</t>
  </si>
  <si>
    <t>?</t>
  </si>
  <si>
    <t>Sveck/EVA Alternative</t>
  </si>
  <si>
    <t>On Hand Inventory</t>
  </si>
  <si>
    <t>Sea ?</t>
  </si>
  <si>
    <t>Junction Box ?</t>
  </si>
  <si>
    <t>Not paid</t>
  </si>
  <si>
    <t>Not Paid</t>
  </si>
  <si>
    <t xml:space="preserve">Junction Box </t>
  </si>
  <si>
    <t>Junction Box UKT</t>
  </si>
  <si>
    <t>Labels Go Power</t>
  </si>
  <si>
    <t>Sunshine</t>
  </si>
  <si>
    <t>Remaining
Inventory</t>
  </si>
  <si>
    <t>TPT 350mm</t>
  </si>
  <si>
    <t>TPT 385mm</t>
  </si>
  <si>
    <t>EVA</t>
  </si>
  <si>
    <t>PO 012</t>
  </si>
  <si>
    <t>Labels TK 35W</t>
  </si>
  <si>
    <t>Labels TK 50W</t>
  </si>
  <si>
    <t>Label Thermolite 50W</t>
  </si>
  <si>
    <t>Henan</t>
  </si>
  <si>
    <t>DHL</t>
  </si>
  <si>
    <t>360 Pcs - 14 Feb</t>
  </si>
  <si>
    <t>640 Pcs - 3 Mar</t>
  </si>
  <si>
    <t>Junction Box 3 Diode</t>
  </si>
  <si>
    <t xml:space="preserve">500pcs 35W PO-609820 </t>
  </si>
  <si>
    <t xml:space="preserve">1500pcs 35W PO-609820 </t>
  </si>
  <si>
    <t>Part 3</t>
  </si>
  <si>
    <t>First Eva</t>
  </si>
  <si>
    <t>Open New PO</t>
  </si>
  <si>
    <t>5 - 7 Dats</t>
  </si>
  <si>
    <t>Confirm with Fedex</t>
  </si>
  <si>
    <t>First EVA</t>
  </si>
  <si>
    <t>PO 011</t>
  </si>
  <si>
    <t>DP 50%</t>
  </si>
  <si>
    <t>10 Days</t>
  </si>
  <si>
    <t>Label White</t>
  </si>
  <si>
    <t>Label Thermolite 40W</t>
  </si>
  <si>
    <t>Male Connector</t>
  </si>
  <si>
    <t>Connector Dhelpi</t>
  </si>
  <si>
    <t>Cable seal, Weather Pack</t>
  </si>
  <si>
    <t>No 7</t>
  </si>
  <si>
    <t>No 8</t>
  </si>
  <si>
    <t>No 9</t>
  </si>
  <si>
    <t>No 5</t>
  </si>
  <si>
    <t>No 6</t>
  </si>
  <si>
    <t>No 4</t>
  </si>
  <si>
    <t>No 10</t>
  </si>
  <si>
    <t>No 11</t>
  </si>
  <si>
    <t>No 12</t>
  </si>
  <si>
    <t>No 13</t>
  </si>
  <si>
    <t>PO 023</t>
  </si>
  <si>
    <t>Backsheet WCPC 35W</t>
  </si>
  <si>
    <t>180 (7 Mar)</t>
  </si>
  <si>
    <t>540 - 11 Mar</t>
  </si>
  <si>
    <t>TBD</t>
  </si>
  <si>
    <t>ReV PO.030</t>
  </si>
  <si>
    <t>PO.023</t>
  </si>
  <si>
    <t>Xuzhou Xingwen</t>
  </si>
  <si>
    <t>PO 047</t>
  </si>
  <si>
    <t>PO.026</t>
  </si>
  <si>
    <t>PO.028</t>
  </si>
  <si>
    <t>PO 025</t>
  </si>
  <si>
    <t>PO.025</t>
  </si>
  <si>
    <t>Waiting Sample Arrived</t>
  </si>
  <si>
    <t>3 Days</t>
  </si>
  <si>
    <t>900 (16 Mar)</t>
  </si>
  <si>
    <t>540 (27 Mar)</t>
  </si>
  <si>
    <t>720 (03 Apr)</t>
  </si>
  <si>
    <t>800 (9 Apr)</t>
  </si>
  <si>
    <t>1000 (11 Apr)</t>
  </si>
  <si>
    <t>1000 (17 Apr)</t>
  </si>
  <si>
    <t>2000 (25 Apr)</t>
  </si>
  <si>
    <t>720 (2 May)</t>
  </si>
  <si>
    <t>1280 (8 May)</t>
  </si>
  <si>
    <t>1000 (12 May)</t>
  </si>
  <si>
    <t>1500 (21 May)</t>
  </si>
  <si>
    <t>Packaging will be Custom by Engineering</t>
  </si>
  <si>
    <t>by Go Power</t>
  </si>
  <si>
    <t>Need Payback</t>
  </si>
  <si>
    <t>- 40 PCS</t>
  </si>
  <si>
    <t>15 Days</t>
  </si>
  <si>
    <t>Interconnect Tab</t>
  </si>
  <si>
    <t>Rev 030</t>
  </si>
  <si>
    <t>Backsheet WCPC 380mm</t>
  </si>
  <si>
    <t>Shanghai Fenxiang</t>
  </si>
  <si>
    <t>Payment Date</t>
  </si>
  <si>
    <t>Air &amp; Sea</t>
  </si>
  <si>
    <t>540 - (11 Mar)</t>
  </si>
  <si>
    <t>140 (11 Mar)</t>
  </si>
  <si>
    <t>360 (17 Mar)</t>
  </si>
  <si>
    <t>500 (27 (Mar)</t>
  </si>
  <si>
    <t>40 (11 Mar)</t>
  </si>
  <si>
    <t>EVA (First EVA)</t>
  </si>
  <si>
    <t>PO.011</t>
  </si>
  <si>
    <t>Need BP 50%
(13 Mar 2025)</t>
  </si>
  <si>
    <t>5 Days</t>
  </si>
  <si>
    <t>FU to Adhel</t>
  </si>
  <si>
    <t>Air by DHL</t>
  </si>
  <si>
    <t>PO 020</t>
  </si>
  <si>
    <t>PO 024</t>
  </si>
  <si>
    <t>PO 027</t>
  </si>
  <si>
    <t>material</t>
  </si>
  <si>
    <t>REV PO 030</t>
  </si>
  <si>
    <t>DNP</t>
  </si>
  <si>
    <t>TH-FPM</t>
  </si>
  <si>
    <t>TPT 110W (570*1165mm)</t>
  </si>
  <si>
    <t>Backsheet WCPC (570mm)</t>
  </si>
  <si>
    <t>DHL Warehouse</t>
  </si>
  <si>
    <t>Production by Supplier</t>
  </si>
  <si>
    <t>On The Way</t>
  </si>
  <si>
    <t>Port JKT</t>
  </si>
  <si>
    <t>On the Way (Sea)</t>
  </si>
  <si>
    <t>po.013</t>
  </si>
  <si>
    <t>2090 Pcs</t>
  </si>
  <si>
    <t>PO.031</t>
  </si>
  <si>
    <t>Consigned raw material</t>
  </si>
  <si>
    <t>Sun Power</t>
  </si>
  <si>
    <t>Manufacturer</t>
  </si>
  <si>
    <t>Junction Box UKT 110W GP</t>
  </si>
  <si>
    <t>Junction Box Amphenol 110W TK</t>
  </si>
  <si>
    <t>Heliobond PVA-600BT tape 101.6*3mm (with anti sticky) 110W</t>
  </si>
  <si>
    <t>TTI</t>
  </si>
  <si>
    <t>Suzhou UKT</t>
  </si>
  <si>
    <t>Shenzhen Amphenol</t>
  </si>
  <si>
    <t>Kömmerling</t>
  </si>
  <si>
    <t>Sky Received
Jan 24, 2026</t>
  </si>
  <si>
    <t>Sky Stock
till Jan.19, 2026</t>
  </si>
  <si>
    <t>Valterra Stock Qty till Jan.19, 2026</t>
  </si>
  <si>
    <t>Sky Total
Stock Jan.24, 2026
Stock</t>
  </si>
  <si>
    <t>Qty of Consumption finished goods till March 17, 2026</t>
  </si>
  <si>
    <t>Sky Stock Actual
till 13 Mar
Warehouse</t>
  </si>
  <si>
    <t xml:space="preserve">Valterra stock Qty 
till March 13, 2026 by Carson </t>
  </si>
  <si>
    <t>Sky Actual WIP till March 17, 2026</t>
  </si>
  <si>
    <t>Sky Remaining Stock (warehouse+WIP) from Jan to March.17,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</si>
</sst>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[$$-409]* #,##0.00_ ;_-[$$-409]* \-#,##0.00\ ;_-[$$-409]* &quot;-&quot;??_ ;_-@_ "/>
    <numFmt numFmtId="166" formatCode="#,##0.00\ &quot;SQM&quot;"/>
    <numFmt numFmtId="167" formatCode="#,##0.00\ &quot;PCS&quot;"/>
    <numFmt numFmtId="168" formatCode="_-* #,##0_-;\-* #,##0_-;_-* &quot;-&quot;??_-;_-@_-"/>
  </numFmts>
  <fonts count="1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charset val="1"/>
      <scheme val="minor"/>
    </font>
    <font>
      <b/>
      <sz val="11"/>
      <color theme="1"/>
      <name val="Aptos Narrow"/>
      <charset val="1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164" fontId="14" fillId="0" borderId="0" applyFont="0" applyFill="0" applyBorder="0" applyAlignment="0" applyProtection="0"/>
  </cellStyleXfs>
  <cellXfs count="170">
    <xf numFmtId="0" fontId="0" fillId="0" borderId="0" xfId="0"/>
    <xf numFmtId="0" fontId="3" fillId="0" borderId="1" xfId="2" applyFont="1" applyBorder="1" applyAlignment="1">
      <alignment horizontal="right"/>
    </xf>
    <xf numFmtId="0" fontId="0" fillId="0" borderId="0" xfId="0" applyAlignment="1">
      <alignment horizontal="center"/>
    </xf>
    <xf numFmtId="0" fontId="3" fillId="0" borderId="2" xfId="2" applyFon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3" xfId="1" applyBorder="1" applyAlignment="1">
      <alignment horizontal="left" vertical="center"/>
    </xf>
    <xf numFmtId="0" fontId="0" fillId="0" borderId="3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15" fontId="0" fillId="0" borderId="0" xfId="0" applyNumberFormat="1" applyAlignment="1">
      <alignment horizontal="center" vertical="center"/>
    </xf>
    <xf numFmtId="15" fontId="0" fillId="0" borderId="3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3" borderId="1" xfId="0" applyFill="1" applyBorder="1"/>
    <xf numFmtId="16" fontId="0" fillId="3" borderId="12" xfId="0" applyNumberFormat="1" applyFill="1" applyBorder="1" applyAlignment="1">
      <alignment horizontal="center" vertical="center"/>
    </xf>
    <xf numFmtId="16" fontId="0" fillId="0" borderId="12" xfId="0" applyNumberFormat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" fillId="0" borderId="2" xfId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5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0" fillId="0" borderId="9" xfId="0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5" fontId="6" fillId="0" borderId="1" xfId="0" applyNumberFormat="1" applyFont="1" applyBorder="1" applyAlignment="1">
      <alignment horizontal="center"/>
    </xf>
    <xf numFmtId="15" fontId="6" fillId="0" borderId="3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15" fontId="7" fillId="0" borderId="3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" fontId="11" fillId="0" borderId="1" xfId="0" applyNumberFormat="1" applyFont="1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0" fontId="3" fillId="5" borderId="1" xfId="2" applyFont="1" applyFill="1" applyBorder="1" applyAlignment="1">
      <alignment horizontal="right"/>
    </xf>
    <xf numFmtId="0" fontId="3" fillId="5" borderId="2" xfId="2" applyFont="1" applyFill="1" applyBorder="1" applyAlignment="1">
      <alignment horizontal="right"/>
    </xf>
    <xf numFmtId="0" fontId="10" fillId="0" borderId="0" xfId="0" quotePrefix="1" applyFont="1" applyAlignment="1">
      <alignment horizontal="center"/>
    </xf>
    <xf numFmtId="0" fontId="11" fillId="0" borderId="2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5" fontId="8" fillId="0" borderId="1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3" borderId="1" xfId="2" applyFont="1" applyFill="1" applyBorder="1" applyAlignment="1">
      <alignment horizontal="right"/>
    </xf>
    <xf numFmtId="15" fontId="9" fillId="0" borderId="3" xfId="0" applyNumberFormat="1" applyFont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/>
    </xf>
    <xf numFmtId="15" fontId="8" fillId="0" borderId="3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" fontId="0" fillId="3" borderId="1" xfId="0" applyNumberForma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16" fontId="0" fillId="0" borderId="0" xfId="0" applyNumberFormat="1"/>
    <xf numFmtId="15" fontId="8" fillId="0" borderId="1" xfId="0" applyNumberFormat="1" applyFont="1" applyBorder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168" fontId="0" fillId="7" borderId="1" xfId="3" applyNumberFormat="1" applyFont="1" applyFill="1" applyBorder="1" applyAlignment="1">
      <alignment horizontal="center" vertical="top" wrapText="1"/>
    </xf>
    <xf numFmtId="164" fontId="0" fillId="7" borderId="1" xfId="3" applyFont="1" applyFill="1" applyBorder="1" applyAlignment="1">
      <alignment horizontal="center" vertical="top" wrapText="1"/>
    </xf>
    <xf numFmtId="164" fontId="0" fillId="8" borderId="1" xfId="3" applyFont="1" applyFill="1" applyBorder="1" applyAlignment="1">
      <alignment horizontal="center"/>
    </xf>
    <xf numFmtId="37" fontId="0" fillId="8" borderId="1" xfId="3" applyNumberFormat="1" applyFont="1" applyFill="1" applyBorder="1" applyAlignment="1">
      <alignment horizontal="right"/>
    </xf>
    <xf numFmtId="168" fontId="0" fillId="8" borderId="1" xfId="3" applyNumberFormat="1" applyFont="1" applyFill="1" applyBorder="1" applyAlignment="1">
      <alignment horizontal="center" vertical="top" wrapText="1"/>
    </xf>
    <xf numFmtId="37" fontId="0" fillId="8" borderId="1" xfId="3" applyNumberFormat="1" applyFont="1" applyFill="1" applyBorder="1" applyAlignment="1">
      <alignment horizontal="center" vertical="top" wrapText="1"/>
    </xf>
    <xf numFmtId="168" fontId="0" fillId="8" borderId="1" xfId="3" applyNumberFormat="1" applyFont="1" applyFill="1" applyBorder="1" applyAlignment="1">
      <alignment horizontal="center"/>
    </xf>
    <xf numFmtId="37" fontId="0" fillId="8" borderId="1" xfId="3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indent="3"/>
    </xf>
    <xf numFmtId="0" fontId="0" fillId="0" borderId="5" xfId="0" applyBorder="1" applyAlignment="1">
      <alignment horizontal="left" indent="3"/>
    </xf>
    <xf numFmtId="0" fontId="0" fillId="0" borderId="6" xfId="0" applyBorder="1" applyAlignment="1">
      <alignment horizontal="left" indent="3"/>
    </xf>
    <xf numFmtId="16" fontId="0" fillId="0" borderId="2" xfId="0" applyNumberForma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15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15" fontId="8" fillId="0" borderId="2" xfId="0" applyNumberFormat="1" applyFont="1" applyBorder="1" applyAlignment="1">
      <alignment horizontal="center" vertical="center"/>
    </xf>
    <xf numFmtId="15" fontId="8" fillId="0" borderId="9" xfId="0" applyNumberFormat="1" applyFont="1" applyBorder="1" applyAlignment="1">
      <alignment horizontal="center" vertical="center"/>
    </xf>
    <xf numFmtId="15" fontId="8" fillId="0" borderId="3" xfId="0" applyNumberFormat="1" applyFont="1" applyBorder="1" applyAlignment="1">
      <alignment horizontal="center" vertical="center"/>
    </xf>
    <xf numFmtId="15" fontId="9" fillId="0" borderId="2" xfId="0" applyNumberFormat="1" applyFont="1" applyBorder="1" applyAlignment="1">
      <alignment horizontal="center" vertical="center"/>
    </xf>
    <xf numFmtId="15" fontId="9" fillId="0" borderId="9" xfId="0" applyNumberFormat="1" applyFont="1" applyBorder="1" applyAlignment="1">
      <alignment horizontal="center" vertical="center"/>
    </xf>
    <xf numFmtId="15" fontId="9" fillId="0" borderId="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15" fontId="6" fillId="0" borderId="1" xfId="0" applyNumberFormat="1" applyFont="1" applyBorder="1" applyAlignment="1">
      <alignment horizontal="center" vertical="top"/>
    </xf>
    <xf numFmtId="15" fontId="0" fillId="0" borderId="9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6" fillId="0" borderId="3" xfId="0" applyNumberFormat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1" fillId="0" borderId="9" xfId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3" borderId="2" xfId="0" applyFill="1" applyBorder="1" applyAlignment="1">
      <alignment horizontal="center" vertical="top"/>
    </xf>
    <xf numFmtId="0" fontId="0" fillId="3" borderId="3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" fontId="0" fillId="0" borderId="1" xfId="0" applyNumberFormat="1" applyBorder="1" applyAlignment="1">
      <alignment horizontal="center" vertical="top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5" fontId="7" fillId="0" borderId="2" xfId="0" applyNumberFormat="1" applyFont="1" applyBorder="1" applyAlignment="1">
      <alignment horizontal="center" vertical="center"/>
    </xf>
    <xf numFmtId="15" fontId="7" fillId="0" borderId="9" xfId="0" applyNumberFormat="1" applyFont="1" applyBorder="1" applyAlignment="1">
      <alignment horizontal="center" vertical="center"/>
    </xf>
    <xf numFmtId="15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/>
    </xf>
    <xf numFmtId="37" fontId="15" fillId="0" borderId="1" xfId="0" applyNumberFormat="1" applyFont="1" applyBorder="1" applyAlignment="1">
      <alignment horizontal="right"/>
    </xf>
  </cellXfs>
  <cellStyles count="4">
    <cellStyle name="0,0_x000d__x000a_NA_x000d__x000a_" xfId="2" xr:uid="{00000000-0005-0000-0000-000000000000}"/>
    <cellStyle name="Comma" xfId="3" builtinId="3"/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299</xdr:row>
      <xdr:rowOff>171450</xdr:rowOff>
    </xdr:from>
    <xdr:to>
      <xdr:col>8</xdr:col>
      <xdr:colOff>477427</xdr:colOff>
      <xdr:row>316</xdr:row>
      <xdr:rowOff>38533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A793AD-6732-42D0-8AE2-C54283F00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864750"/>
          <a:ext cx="8430802" cy="3105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udy@hzdongke.com" TargetMode="External"/><Relationship Id="rId18" Type="http://schemas.openxmlformats.org/officeDocument/2006/relationships/hyperlink" Target="mailto:15858119899@139.com" TargetMode="External"/><Relationship Id="rId26" Type="http://schemas.openxmlformats.org/officeDocument/2006/relationships/hyperlink" Target="mailto:ben@hongxinxu.com" TargetMode="External"/><Relationship Id="rId39" Type="http://schemas.openxmlformats.org/officeDocument/2006/relationships/hyperlink" Target="mailto:15858119899@139.com" TargetMode="External"/><Relationship Id="rId3" Type="http://schemas.openxmlformats.org/officeDocument/2006/relationships/hyperlink" Target="mailto:emma@jsbaojun.cn" TargetMode="External"/><Relationship Id="rId21" Type="http://schemas.openxmlformats.org/officeDocument/2006/relationships/hyperlink" Target="mailto:emma@jsbaojun.cn" TargetMode="External"/><Relationship Id="rId34" Type="http://schemas.openxmlformats.org/officeDocument/2006/relationships/hyperlink" Target="mailto:emma@jsbaojun.cn" TargetMode="External"/><Relationship Id="rId42" Type="http://schemas.openxmlformats.org/officeDocument/2006/relationships/hyperlink" Target="mailto:ben@hongxinxu.com" TargetMode="External"/><Relationship Id="rId47" Type="http://schemas.openxmlformats.org/officeDocument/2006/relationships/hyperlink" Target="mailto:emma@jsbaojun.cn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mailto:ben@hongxinxu.com" TargetMode="External"/><Relationship Id="rId12" Type="http://schemas.openxmlformats.org/officeDocument/2006/relationships/hyperlink" Target="mailto:emma@jsbaojun.cn" TargetMode="External"/><Relationship Id="rId17" Type="http://schemas.openxmlformats.org/officeDocument/2006/relationships/hyperlink" Target="mailto:ben@hongxinxu.com" TargetMode="External"/><Relationship Id="rId25" Type="http://schemas.openxmlformats.org/officeDocument/2006/relationships/hyperlink" Target="mailto:15858119899@139.com" TargetMode="External"/><Relationship Id="rId33" Type="http://schemas.openxmlformats.org/officeDocument/2006/relationships/hyperlink" Target="mailto:ben@hongxinxu.com" TargetMode="External"/><Relationship Id="rId38" Type="http://schemas.openxmlformats.org/officeDocument/2006/relationships/hyperlink" Target="mailto:ben@hongxinxu.com" TargetMode="External"/><Relationship Id="rId46" Type="http://schemas.openxmlformats.org/officeDocument/2006/relationships/hyperlink" Target="mailto:emma@jsbaojun.cn" TargetMode="External"/><Relationship Id="rId2" Type="http://schemas.openxmlformats.org/officeDocument/2006/relationships/hyperlink" Target="mailto:ben@hongxinxu.com" TargetMode="External"/><Relationship Id="rId16" Type="http://schemas.openxmlformats.org/officeDocument/2006/relationships/hyperlink" Target="mailto:judy@hzdongke.com" TargetMode="External"/><Relationship Id="rId20" Type="http://schemas.openxmlformats.org/officeDocument/2006/relationships/hyperlink" Target="mailto:emma@jsbaojun.cn" TargetMode="External"/><Relationship Id="rId29" Type="http://schemas.openxmlformats.org/officeDocument/2006/relationships/hyperlink" Target="mailto:15858119899@139.com" TargetMode="External"/><Relationship Id="rId41" Type="http://schemas.openxmlformats.org/officeDocument/2006/relationships/hyperlink" Target="mailto:15858119899@139.com" TargetMode="External"/><Relationship Id="rId1" Type="http://schemas.openxmlformats.org/officeDocument/2006/relationships/hyperlink" Target="mailto:judy@hzdongke.com" TargetMode="External"/><Relationship Id="rId6" Type="http://schemas.openxmlformats.org/officeDocument/2006/relationships/hyperlink" Target="mailto:15858119899@139.com" TargetMode="External"/><Relationship Id="rId11" Type="http://schemas.openxmlformats.org/officeDocument/2006/relationships/hyperlink" Target="mailto:15858119899@139.com" TargetMode="External"/><Relationship Id="rId24" Type="http://schemas.openxmlformats.org/officeDocument/2006/relationships/hyperlink" Target="mailto:emma@jsbaojun.cn" TargetMode="External"/><Relationship Id="rId32" Type="http://schemas.openxmlformats.org/officeDocument/2006/relationships/hyperlink" Target="mailto:15858119899@139.com" TargetMode="External"/><Relationship Id="rId37" Type="http://schemas.openxmlformats.org/officeDocument/2006/relationships/hyperlink" Target="mailto:emma@jsbaojun.cn" TargetMode="External"/><Relationship Id="rId40" Type="http://schemas.openxmlformats.org/officeDocument/2006/relationships/hyperlink" Target="mailto:emma@jsbaojun.cn" TargetMode="External"/><Relationship Id="rId45" Type="http://schemas.openxmlformats.org/officeDocument/2006/relationships/hyperlink" Target="mailto:15858119899@139.com" TargetMode="External"/><Relationship Id="rId53" Type="http://schemas.openxmlformats.org/officeDocument/2006/relationships/comments" Target="../comments1.xml"/><Relationship Id="rId5" Type="http://schemas.openxmlformats.org/officeDocument/2006/relationships/hyperlink" Target="mailto:ben@hongxinxu.com" TargetMode="External"/><Relationship Id="rId15" Type="http://schemas.openxmlformats.org/officeDocument/2006/relationships/hyperlink" Target="mailto:judy@hzdongke.com" TargetMode="External"/><Relationship Id="rId23" Type="http://schemas.openxmlformats.org/officeDocument/2006/relationships/hyperlink" Target="mailto:judy@hzdongke.com" TargetMode="External"/><Relationship Id="rId28" Type="http://schemas.openxmlformats.org/officeDocument/2006/relationships/hyperlink" Target="mailto:emma@jsbaojun.cn" TargetMode="External"/><Relationship Id="rId36" Type="http://schemas.openxmlformats.org/officeDocument/2006/relationships/hyperlink" Target="mailto:15858119899@139.com" TargetMode="External"/><Relationship Id="rId49" Type="http://schemas.openxmlformats.org/officeDocument/2006/relationships/hyperlink" Target="mailto:emma@jsbaojun.cn" TargetMode="External"/><Relationship Id="rId10" Type="http://schemas.openxmlformats.org/officeDocument/2006/relationships/hyperlink" Target="mailto:emma@jsbaojun.cn" TargetMode="External"/><Relationship Id="rId19" Type="http://schemas.openxmlformats.org/officeDocument/2006/relationships/hyperlink" Target="mailto:toprungrace@sina.cn" TargetMode="External"/><Relationship Id="rId31" Type="http://schemas.openxmlformats.org/officeDocument/2006/relationships/hyperlink" Target="mailto:emma@jsbaojun.cn" TargetMode="External"/><Relationship Id="rId44" Type="http://schemas.openxmlformats.org/officeDocument/2006/relationships/hyperlink" Target="mailto:emma@jsbaojun.cn" TargetMode="External"/><Relationship Id="rId52" Type="http://schemas.openxmlformats.org/officeDocument/2006/relationships/vmlDrawing" Target="../drawings/vmlDrawing1.vml"/><Relationship Id="rId4" Type="http://schemas.openxmlformats.org/officeDocument/2006/relationships/hyperlink" Target="mailto:15858119899@139.com" TargetMode="External"/><Relationship Id="rId9" Type="http://schemas.openxmlformats.org/officeDocument/2006/relationships/hyperlink" Target="mailto:ben@hongxinxu.com" TargetMode="External"/><Relationship Id="rId14" Type="http://schemas.openxmlformats.org/officeDocument/2006/relationships/hyperlink" Target="mailto:judy@hzdongke.com" TargetMode="External"/><Relationship Id="rId22" Type="http://schemas.openxmlformats.org/officeDocument/2006/relationships/hyperlink" Target="mailto:ben@hongxinxu.com" TargetMode="External"/><Relationship Id="rId27" Type="http://schemas.openxmlformats.org/officeDocument/2006/relationships/hyperlink" Target="mailto:15858119899@139.com" TargetMode="External"/><Relationship Id="rId30" Type="http://schemas.openxmlformats.org/officeDocument/2006/relationships/hyperlink" Target="mailto:ben@hongxinxu.com" TargetMode="External"/><Relationship Id="rId35" Type="http://schemas.openxmlformats.org/officeDocument/2006/relationships/hyperlink" Target="mailto:ben@hongxinxu.com" TargetMode="External"/><Relationship Id="rId43" Type="http://schemas.openxmlformats.org/officeDocument/2006/relationships/hyperlink" Target="mailto:judy@hzdongke.com" TargetMode="External"/><Relationship Id="rId48" Type="http://schemas.openxmlformats.org/officeDocument/2006/relationships/hyperlink" Target="mailto:emma@jsbaojun.cn" TargetMode="External"/><Relationship Id="rId8" Type="http://schemas.openxmlformats.org/officeDocument/2006/relationships/hyperlink" Target="mailto:15858119899@139.com" TargetMode="External"/><Relationship Id="rId5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udy@hzdongke.com" TargetMode="External"/><Relationship Id="rId18" Type="http://schemas.openxmlformats.org/officeDocument/2006/relationships/hyperlink" Target="mailto:15858119899@139.com" TargetMode="External"/><Relationship Id="rId26" Type="http://schemas.openxmlformats.org/officeDocument/2006/relationships/hyperlink" Target="mailto:judy@hzdongke.com" TargetMode="External"/><Relationship Id="rId39" Type="http://schemas.openxmlformats.org/officeDocument/2006/relationships/hyperlink" Target="mailto:judy@hzdongke.com" TargetMode="External"/><Relationship Id="rId3" Type="http://schemas.openxmlformats.org/officeDocument/2006/relationships/hyperlink" Target="mailto:emma@jsbaojun.cn" TargetMode="External"/><Relationship Id="rId21" Type="http://schemas.openxmlformats.org/officeDocument/2006/relationships/hyperlink" Target="mailto:emma@jsbaojun.cn" TargetMode="External"/><Relationship Id="rId34" Type="http://schemas.openxmlformats.org/officeDocument/2006/relationships/hyperlink" Target="mailto:ben@hongxinxu.com" TargetMode="External"/><Relationship Id="rId42" Type="http://schemas.openxmlformats.org/officeDocument/2006/relationships/hyperlink" Target="mailto:ben@hongxinxu.com" TargetMode="External"/><Relationship Id="rId47" Type="http://schemas.openxmlformats.org/officeDocument/2006/relationships/hyperlink" Target="mailto:15858119899@139.com" TargetMode="External"/><Relationship Id="rId50" Type="http://schemas.openxmlformats.org/officeDocument/2006/relationships/comments" Target="../comments2.xml"/><Relationship Id="rId7" Type="http://schemas.openxmlformats.org/officeDocument/2006/relationships/hyperlink" Target="mailto:ben@hongxinxu.com" TargetMode="External"/><Relationship Id="rId12" Type="http://schemas.openxmlformats.org/officeDocument/2006/relationships/hyperlink" Target="mailto:emma@jsbaojun.cn" TargetMode="External"/><Relationship Id="rId17" Type="http://schemas.openxmlformats.org/officeDocument/2006/relationships/hyperlink" Target="mailto:ben@hongxinxu.com" TargetMode="External"/><Relationship Id="rId25" Type="http://schemas.openxmlformats.org/officeDocument/2006/relationships/hyperlink" Target="mailto:emma@jsbaojun.cn" TargetMode="External"/><Relationship Id="rId33" Type="http://schemas.openxmlformats.org/officeDocument/2006/relationships/hyperlink" Target="mailto:15858119899@139.com" TargetMode="External"/><Relationship Id="rId38" Type="http://schemas.openxmlformats.org/officeDocument/2006/relationships/hyperlink" Target="mailto:ben@hongxinxu.com" TargetMode="External"/><Relationship Id="rId46" Type="http://schemas.openxmlformats.org/officeDocument/2006/relationships/hyperlink" Target="mailto:ben@hongxinxu.com" TargetMode="External"/><Relationship Id="rId2" Type="http://schemas.openxmlformats.org/officeDocument/2006/relationships/hyperlink" Target="mailto:ben@hongxinxu.com" TargetMode="External"/><Relationship Id="rId16" Type="http://schemas.openxmlformats.org/officeDocument/2006/relationships/hyperlink" Target="mailto:judy@hzdongke.com" TargetMode="External"/><Relationship Id="rId20" Type="http://schemas.openxmlformats.org/officeDocument/2006/relationships/hyperlink" Target="mailto:emma@jsbaojun.cn" TargetMode="External"/><Relationship Id="rId29" Type="http://schemas.openxmlformats.org/officeDocument/2006/relationships/hyperlink" Target="mailto:judy@hzdongke.com" TargetMode="External"/><Relationship Id="rId41" Type="http://schemas.openxmlformats.org/officeDocument/2006/relationships/hyperlink" Target="mailto:judy@hzdongke.com" TargetMode="External"/><Relationship Id="rId1" Type="http://schemas.openxmlformats.org/officeDocument/2006/relationships/hyperlink" Target="mailto:judy@hzdongke.com" TargetMode="External"/><Relationship Id="rId6" Type="http://schemas.openxmlformats.org/officeDocument/2006/relationships/hyperlink" Target="mailto:15858119899@139.com" TargetMode="External"/><Relationship Id="rId11" Type="http://schemas.openxmlformats.org/officeDocument/2006/relationships/hyperlink" Target="mailto:15858119899@139.com" TargetMode="External"/><Relationship Id="rId24" Type="http://schemas.openxmlformats.org/officeDocument/2006/relationships/hyperlink" Target="mailto:judy@hzdongke.com" TargetMode="External"/><Relationship Id="rId32" Type="http://schemas.openxmlformats.org/officeDocument/2006/relationships/hyperlink" Target="mailto:emma@jsbaojun.cn" TargetMode="External"/><Relationship Id="rId37" Type="http://schemas.openxmlformats.org/officeDocument/2006/relationships/hyperlink" Target="mailto:15858119899@139.com" TargetMode="External"/><Relationship Id="rId40" Type="http://schemas.openxmlformats.org/officeDocument/2006/relationships/hyperlink" Target="mailto:emma@jsbaojun.cn" TargetMode="External"/><Relationship Id="rId45" Type="http://schemas.openxmlformats.org/officeDocument/2006/relationships/hyperlink" Target="mailto:judy@hzdongke.com" TargetMode="External"/><Relationship Id="rId5" Type="http://schemas.openxmlformats.org/officeDocument/2006/relationships/hyperlink" Target="mailto:ben@hongxinxu.com" TargetMode="External"/><Relationship Id="rId15" Type="http://schemas.openxmlformats.org/officeDocument/2006/relationships/hyperlink" Target="mailto:judy@hzdongke.com" TargetMode="External"/><Relationship Id="rId23" Type="http://schemas.openxmlformats.org/officeDocument/2006/relationships/hyperlink" Target="mailto:ben@hongxinxu.com" TargetMode="External"/><Relationship Id="rId28" Type="http://schemas.openxmlformats.org/officeDocument/2006/relationships/hyperlink" Target="mailto:emma@jsbaojun.cn" TargetMode="External"/><Relationship Id="rId36" Type="http://schemas.openxmlformats.org/officeDocument/2006/relationships/hyperlink" Target="mailto:emma@jsbaojun.cn" TargetMode="External"/><Relationship Id="rId49" Type="http://schemas.openxmlformats.org/officeDocument/2006/relationships/vmlDrawing" Target="../drawings/vmlDrawing2.vml"/><Relationship Id="rId10" Type="http://schemas.openxmlformats.org/officeDocument/2006/relationships/hyperlink" Target="mailto:emma@jsbaojun.cn" TargetMode="External"/><Relationship Id="rId19" Type="http://schemas.openxmlformats.org/officeDocument/2006/relationships/hyperlink" Target="mailto:toprungrace@sina.cn" TargetMode="External"/><Relationship Id="rId31" Type="http://schemas.openxmlformats.org/officeDocument/2006/relationships/hyperlink" Target="mailto:15858119899@139.com" TargetMode="External"/><Relationship Id="rId44" Type="http://schemas.openxmlformats.org/officeDocument/2006/relationships/hyperlink" Target="mailto:emma@jsbaojun.cn" TargetMode="External"/><Relationship Id="rId4" Type="http://schemas.openxmlformats.org/officeDocument/2006/relationships/hyperlink" Target="mailto:15858119899@139.com" TargetMode="External"/><Relationship Id="rId9" Type="http://schemas.openxmlformats.org/officeDocument/2006/relationships/hyperlink" Target="mailto:ben@hongxinxu.com" TargetMode="External"/><Relationship Id="rId14" Type="http://schemas.openxmlformats.org/officeDocument/2006/relationships/hyperlink" Target="mailto:judy@hzdongke.com" TargetMode="External"/><Relationship Id="rId22" Type="http://schemas.openxmlformats.org/officeDocument/2006/relationships/hyperlink" Target="mailto:15858119899@139.com" TargetMode="External"/><Relationship Id="rId27" Type="http://schemas.openxmlformats.org/officeDocument/2006/relationships/hyperlink" Target="mailto:15858119899@139.com" TargetMode="External"/><Relationship Id="rId30" Type="http://schemas.openxmlformats.org/officeDocument/2006/relationships/hyperlink" Target="mailto:ben@hongxinxu.com" TargetMode="External"/><Relationship Id="rId35" Type="http://schemas.openxmlformats.org/officeDocument/2006/relationships/hyperlink" Target="mailto:judy@hzdongke.com" TargetMode="External"/><Relationship Id="rId43" Type="http://schemas.openxmlformats.org/officeDocument/2006/relationships/hyperlink" Target="mailto:15858119899@139.com" TargetMode="External"/><Relationship Id="rId48" Type="http://schemas.openxmlformats.org/officeDocument/2006/relationships/hyperlink" Target="mailto:emma@jsbaojun.cn" TargetMode="External"/><Relationship Id="rId8" Type="http://schemas.openxmlformats.org/officeDocument/2006/relationships/hyperlink" Target="mailto:15858119899@139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7"/>
  <sheetViews>
    <sheetView tabSelected="1" topLeftCell="A277" zoomScaleNormal="100" workbookViewId="0">
      <pane xSplit="7" topLeftCell="H1" activePane="topRight" state="frozen"/>
      <selection pane="topRight" activeCell="N291" sqref="N291"/>
    </sheetView>
  </sheetViews>
  <sheetFormatPr defaultRowHeight="15" x14ac:dyDescent="0.25"/>
  <cols>
    <col min="1" max="1" width="33.28515625" customWidth="1"/>
    <col min="2" max="2" width="21.42578125" style="33" bestFit="1" customWidth="1"/>
    <col min="3" max="3" width="10.42578125" style="2" hidden="1" customWidth="1"/>
    <col min="4" max="4" width="22.140625" style="12" hidden="1" customWidth="1"/>
    <col min="5" max="5" width="18.140625" style="2" customWidth="1"/>
    <col min="6" max="6" width="16" style="2" customWidth="1"/>
    <col min="7" max="7" width="14.85546875" style="2" customWidth="1"/>
    <col min="8" max="8" width="15.5703125" customWidth="1"/>
    <col min="9" max="9" width="17.140625" style="2" customWidth="1"/>
    <col min="10" max="10" width="20.140625" style="2" customWidth="1"/>
    <col min="11" max="11" width="23.28515625" style="2" customWidth="1"/>
    <col min="12" max="12" width="20.7109375" style="2" customWidth="1"/>
    <col min="13" max="13" width="17.42578125" style="2" customWidth="1"/>
    <col min="14" max="14" width="18.5703125" style="2" customWidth="1"/>
    <col min="15" max="15" width="17.85546875" style="2" bestFit="1" customWidth="1"/>
    <col min="16" max="16" width="17.85546875" style="2" customWidth="1"/>
    <col min="17" max="17" width="14" style="2" bestFit="1" customWidth="1"/>
    <col min="18" max="18" width="13.7109375" style="2" bestFit="1" customWidth="1"/>
    <col min="19" max="19" width="12.85546875" style="2" bestFit="1" customWidth="1"/>
  </cols>
  <sheetData>
    <row r="1" spans="1:19" x14ac:dyDescent="0.25">
      <c r="A1" t="s">
        <v>18</v>
      </c>
    </row>
    <row r="3" spans="1:19" x14ac:dyDescent="0.25">
      <c r="A3" s="54" t="s">
        <v>9</v>
      </c>
      <c r="C3" s="2" t="s">
        <v>135</v>
      </c>
    </row>
    <row r="4" spans="1:19" s="11" customFormat="1" ht="30" x14ac:dyDescent="0.25">
      <c r="A4" s="9" t="s">
        <v>42</v>
      </c>
      <c r="B4" s="34" t="s">
        <v>2</v>
      </c>
      <c r="C4" s="9" t="s">
        <v>13</v>
      </c>
      <c r="D4" s="9" t="s">
        <v>14</v>
      </c>
      <c r="E4" s="9" t="s">
        <v>4</v>
      </c>
      <c r="F4" s="10" t="s">
        <v>94</v>
      </c>
      <c r="G4" s="10" t="s">
        <v>103</v>
      </c>
      <c r="H4" s="9" t="s">
        <v>34</v>
      </c>
      <c r="I4" s="9" t="s">
        <v>11</v>
      </c>
      <c r="J4" s="10" t="s">
        <v>58</v>
      </c>
      <c r="K4" s="10" t="s">
        <v>86</v>
      </c>
      <c r="L4" s="9" t="s">
        <v>8</v>
      </c>
      <c r="M4" s="9" t="s">
        <v>7</v>
      </c>
      <c r="N4" s="9" t="s">
        <v>31</v>
      </c>
      <c r="O4" s="9" t="s">
        <v>32</v>
      </c>
      <c r="P4" s="9" t="s">
        <v>29</v>
      </c>
      <c r="Q4" s="9" t="s">
        <v>33</v>
      </c>
      <c r="R4" s="9" t="s">
        <v>26</v>
      </c>
      <c r="S4" s="9" t="s">
        <v>27</v>
      </c>
    </row>
    <row r="5" spans="1:19" x14ac:dyDescent="0.25">
      <c r="A5" s="4" t="s">
        <v>0</v>
      </c>
      <c r="B5" s="35" t="s">
        <v>45</v>
      </c>
      <c r="C5" s="5"/>
      <c r="D5" s="14"/>
      <c r="E5" s="5">
        <v>4906</v>
      </c>
      <c r="F5" s="5">
        <v>114982</v>
      </c>
      <c r="G5" s="5">
        <f>F5-E5</f>
        <v>110076</v>
      </c>
      <c r="H5" s="141">
        <v>45918</v>
      </c>
      <c r="I5" s="127" t="s">
        <v>60</v>
      </c>
      <c r="J5" s="128"/>
      <c r="K5" s="128"/>
      <c r="L5" s="128"/>
      <c r="M5" s="128"/>
      <c r="N5" s="128"/>
      <c r="O5" s="128"/>
      <c r="P5" s="128"/>
      <c r="Q5" s="129"/>
      <c r="R5" s="5"/>
      <c r="S5" s="5"/>
    </row>
    <row r="6" spans="1:19" x14ac:dyDescent="0.25">
      <c r="A6" s="4" t="s">
        <v>131</v>
      </c>
      <c r="B6" s="35" t="s">
        <v>45</v>
      </c>
      <c r="C6" s="43"/>
      <c r="D6" s="44"/>
      <c r="E6" s="5">
        <f>2.05*460</f>
        <v>942.99999999999989</v>
      </c>
      <c r="F6" s="5">
        <f>5702+15000</f>
        <v>20702</v>
      </c>
      <c r="G6" s="5">
        <f>F6-E6</f>
        <v>19759</v>
      </c>
      <c r="H6" s="141"/>
      <c r="I6" s="127" t="s">
        <v>60</v>
      </c>
      <c r="J6" s="128"/>
      <c r="K6" s="128"/>
      <c r="L6" s="128"/>
      <c r="M6" s="128"/>
      <c r="N6" s="128"/>
      <c r="O6" s="128"/>
      <c r="P6" s="128"/>
      <c r="Q6" s="129"/>
      <c r="R6" s="5"/>
      <c r="S6" s="5"/>
    </row>
    <row r="7" spans="1:19" x14ac:dyDescent="0.25">
      <c r="A7" s="4" t="s">
        <v>129</v>
      </c>
      <c r="B7" s="35" t="s">
        <v>45</v>
      </c>
      <c r="C7" s="43"/>
      <c r="D7" s="44"/>
      <c r="E7" s="5">
        <f>2.05*460</f>
        <v>942.99999999999989</v>
      </c>
      <c r="F7" s="5">
        <f>11000+5722</f>
        <v>16722</v>
      </c>
      <c r="G7" s="5">
        <f t="shared" ref="G7:G8" si="0">F7-E7</f>
        <v>15779</v>
      </c>
      <c r="H7" s="141"/>
      <c r="I7" s="127" t="s">
        <v>60</v>
      </c>
      <c r="J7" s="128"/>
      <c r="K7" s="128"/>
      <c r="L7" s="128"/>
      <c r="M7" s="128"/>
      <c r="N7" s="128"/>
      <c r="O7" s="128"/>
      <c r="P7" s="128"/>
      <c r="Q7" s="129"/>
      <c r="R7" s="5"/>
      <c r="S7" s="5"/>
    </row>
    <row r="8" spans="1:19" x14ac:dyDescent="0.25">
      <c r="A8" s="4" t="s">
        <v>130</v>
      </c>
      <c r="B8" s="35" t="s">
        <v>45</v>
      </c>
      <c r="C8" s="43"/>
      <c r="D8" s="44"/>
      <c r="E8" s="5">
        <v>460</v>
      </c>
      <c r="F8" s="5">
        <f>6600+3208</f>
        <v>9808</v>
      </c>
      <c r="G8" s="5">
        <f t="shared" si="0"/>
        <v>9348</v>
      </c>
      <c r="H8" s="141"/>
      <c r="I8" s="127" t="s">
        <v>60</v>
      </c>
      <c r="J8" s="128"/>
      <c r="K8" s="128"/>
      <c r="L8" s="128"/>
      <c r="M8" s="128"/>
      <c r="N8" s="128"/>
      <c r="O8" s="128"/>
      <c r="P8" s="128"/>
      <c r="Q8" s="129"/>
      <c r="R8" s="5"/>
      <c r="S8" s="5"/>
    </row>
    <row r="9" spans="1:19" x14ac:dyDescent="0.25">
      <c r="A9" s="4" t="s">
        <v>104</v>
      </c>
      <c r="B9" s="98" t="s">
        <v>35</v>
      </c>
      <c r="C9" s="100" t="s">
        <v>12</v>
      </c>
      <c r="D9" s="102" t="s">
        <v>15</v>
      </c>
      <c r="E9" s="5">
        <v>460</v>
      </c>
      <c r="F9" s="5">
        <v>1236</v>
      </c>
      <c r="G9" s="5">
        <f t="shared" ref="G9:G22" si="1">F9-E9</f>
        <v>776</v>
      </c>
      <c r="H9" s="141"/>
      <c r="I9" s="127" t="s">
        <v>60</v>
      </c>
      <c r="J9" s="128"/>
      <c r="K9" s="128"/>
      <c r="L9" s="128"/>
      <c r="M9" s="128"/>
      <c r="N9" s="128"/>
      <c r="O9" s="128"/>
      <c r="P9" s="128"/>
      <c r="Q9" s="129"/>
      <c r="R9" s="5"/>
      <c r="S9" s="5"/>
    </row>
    <row r="10" spans="1:19" x14ac:dyDescent="0.25">
      <c r="A10" s="4" t="s">
        <v>73</v>
      </c>
      <c r="B10" s="105"/>
      <c r="C10" s="104"/>
      <c r="D10" s="148"/>
      <c r="E10" s="5">
        <v>86.48</v>
      </c>
      <c r="F10" s="5">
        <v>311.39999999999998</v>
      </c>
      <c r="G10" s="5">
        <f t="shared" si="1"/>
        <v>224.91999999999996</v>
      </c>
      <c r="H10" s="141"/>
      <c r="I10" s="127" t="s">
        <v>60</v>
      </c>
      <c r="J10" s="128"/>
      <c r="K10" s="128"/>
      <c r="L10" s="128"/>
      <c r="M10" s="128"/>
      <c r="N10" s="128"/>
      <c r="O10" s="128"/>
      <c r="P10" s="128"/>
      <c r="Q10" s="129"/>
      <c r="R10" s="5"/>
      <c r="S10" s="5"/>
    </row>
    <row r="11" spans="1:19" x14ac:dyDescent="0.25">
      <c r="A11" s="4" t="s">
        <v>59</v>
      </c>
      <c r="B11" s="99"/>
      <c r="C11" s="101"/>
      <c r="D11" s="103"/>
      <c r="E11" s="5">
        <v>17.48</v>
      </c>
      <c r="F11" s="5">
        <f>392+196</f>
        <v>588</v>
      </c>
      <c r="G11" s="5">
        <f t="shared" si="1"/>
        <v>570.52</v>
      </c>
      <c r="H11" s="141"/>
      <c r="I11" s="127" t="s">
        <v>60</v>
      </c>
      <c r="J11" s="128"/>
      <c r="K11" s="128"/>
      <c r="L11" s="128"/>
      <c r="M11" s="128"/>
      <c r="N11" s="128"/>
      <c r="O11" s="128"/>
      <c r="P11" s="128"/>
      <c r="Q11" s="129"/>
      <c r="R11" s="5"/>
      <c r="S11" s="5"/>
    </row>
    <row r="12" spans="1:19" x14ac:dyDescent="0.25">
      <c r="A12" s="32" t="s">
        <v>106</v>
      </c>
      <c r="B12" s="36" t="s">
        <v>119</v>
      </c>
      <c r="C12" s="27"/>
      <c r="D12" s="29"/>
      <c r="E12" s="27">
        <v>274.39999999999998</v>
      </c>
      <c r="F12" s="27">
        <v>274.39999999999998</v>
      </c>
      <c r="G12" s="27">
        <f>F12-E12</f>
        <v>0</v>
      </c>
      <c r="H12" s="141"/>
      <c r="I12" s="127" t="s">
        <v>60</v>
      </c>
      <c r="J12" s="128"/>
      <c r="K12" s="128"/>
      <c r="L12" s="128"/>
      <c r="M12" s="128"/>
      <c r="N12" s="128"/>
      <c r="O12" s="128"/>
      <c r="P12" s="128"/>
      <c r="Q12" s="129"/>
      <c r="R12" s="5"/>
      <c r="S12" s="5"/>
    </row>
    <row r="13" spans="1:19" x14ac:dyDescent="0.25">
      <c r="A13" s="4" t="s">
        <v>47</v>
      </c>
      <c r="B13" s="98" t="s">
        <v>36</v>
      </c>
      <c r="C13" s="100" t="s">
        <v>41</v>
      </c>
      <c r="D13" s="146" t="s">
        <v>40</v>
      </c>
      <c r="E13" s="5">
        <v>71.5</v>
      </c>
      <c r="F13" s="5">
        <v>1050</v>
      </c>
      <c r="G13" s="5">
        <f t="shared" si="1"/>
        <v>978.5</v>
      </c>
      <c r="H13" s="141"/>
      <c r="I13" s="119">
        <v>46045</v>
      </c>
      <c r="J13" s="100" t="s">
        <v>56</v>
      </c>
      <c r="K13" s="115">
        <v>46048</v>
      </c>
      <c r="L13" s="100" t="s">
        <v>64</v>
      </c>
      <c r="M13" s="5">
        <v>1050</v>
      </c>
      <c r="N13" s="42" t="s">
        <v>49</v>
      </c>
      <c r="O13" s="5" t="s">
        <v>80</v>
      </c>
      <c r="P13" s="5" t="s">
        <v>50</v>
      </c>
      <c r="Q13" s="8">
        <v>46059</v>
      </c>
      <c r="R13" s="25">
        <v>46062</v>
      </c>
      <c r="S13" s="5"/>
    </row>
    <row r="14" spans="1:19" x14ac:dyDescent="0.25">
      <c r="A14" s="4" t="s">
        <v>48</v>
      </c>
      <c r="B14" s="99"/>
      <c r="C14" s="101"/>
      <c r="D14" s="147"/>
      <c r="E14" s="5">
        <v>108.2</v>
      </c>
      <c r="F14" s="5">
        <v>1500</v>
      </c>
      <c r="G14" s="5">
        <f t="shared" si="1"/>
        <v>1391.8</v>
      </c>
      <c r="H14" s="141"/>
      <c r="I14" s="140"/>
      <c r="J14" s="101"/>
      <c r="K14" s="142"/>
      <c r="L14" s="101"/>
      <c r="M14" s="5">
        <v>1500</v>
      </c>
      <c r="N14" s="42" t="s">
        <v>49</v>
      </c>
      <c r="O14" s="5" t="s">
        <v>80</v>
      </c>
      <c r="P14" s="5" t="s">
        <v>50</v>
      </c>
      <c r="Q14" s="8">
        <v>46059</v>
      </c>
      <c r="R14" s="5"/>
      <c r="S14" s="5"/>
    </row>
    <row r="15" spans="1:19" x14ac:dyDescent="0.25">
      <c r="A15" s="4" t="s">
        <v>3</v>
      </c>
      <c r="B15" s="35" t="s">
        <v>68</v>
      </c>
      <c r="C15" s="5" t="s">
        <v>16</v>
      </c>
      <c r="D15" s="15" t="s">
        <v>6</v>
      </c>
      <c r="E15" s="5">
        <v>0.74</v>
      </c>
      <c r="F15" s="5">
        <v>29.44</v>
      </c>
      <c r="G15" s="5">
        <f t="shared" si="1"/>
        <v>28.700000000000003</v>
      </c>
      <c r="H15" s="141"/>
      <c r="I15" s="127" t="s">
        <v>60</v>
      </c>
      <c r="J15" s="128"/>
      <c r="K15" s="128"/>
      <c r="L15" s="128"/>
      <c r="M15" s="128"/>
      <c r="N15" s="128"/>
      <c r="O15" s="128"/>
      <c r="P15" s="128"/>
      <c r="Q15" s="129"/>
      <c r="R15" s="5"/>
      <c r="S15" s="5"/>
    </row>
    <row r="16" spans="1:19" x14ac:dyDescent="0.25">
      <c r="A16" s="4" t="s">
        <v>67</v>
      </c>
      <c r="B16" s="35" t="s">
        <v>5</v>
      </c>
      <c r="C16" s="5"/>
      <c r="D16" s="14"/>
      <c r="E16" s="5">
        <v>5.0599999999999996</v>
      </c>
      <c r="F16" s="5">
        <v>43.42</v>
      </c>
      <c r="G16" s="5">
        <f t="shared" si="1"/>
        <v>38.36</v>
      </c>
      <c r="H16" s="141"/>
      <c r="I16" s="127" t="s">
        <v>60</v>
      </c>
      <c r="J16" s="128"/>
      <c r="K16" s="128"/>
      <c r="L16" s="128"/>
      <c r="M16" s="128"/>
      <c r="N16" s="128"/>
      <c r="O16" s="128"/>
      <c r="P16" s="128"/>
      <c r="Q16" s="129"/>
      <c r="R16" s="5"/>
      <c r="S16" s="5"/>
    </row>
    <row r="17" spans="1:19" x14ac:dyDescent="0.25">
      <c r="A17" s="4" t="s">
        <v>99</v>
      </c>
      <c r="B17" s="35" t="s">
        <v>37</v>
      </c>
      <c r="C17" s="5" t="s">
        <v>38</v>
      </c>
      <c r="D17" s="15" t="s">
        <v>39</v>
      </c>
      <c r="E17" s="5">
        <v>460</v>
      </c>
      <c r="F17" s="5">
        <f>M17</f>
        <v>694</v>
      </c>
      <c r="G17" s="5">
        <f t="shared" si="1"/>
        <v>234</v>
      </c>
      <c r="H17" s="141"/>
      <c r="I17" s="18">
        <v>45989</v>
      </c>
      <c r="J17" s="5" t="s">
        <v>56</v>
      </c>
      <c r="K17" s="45">
        <v>46036</v>
      </c>
      <c r="L17" s="5" t="s">
        <v>51</v>
      </c>
      <c r="M17" s="5">
        <f>2754-2060</f>
        <v>694</v>
      </c>
      <c r="N17" s="42" t="s">
        <v>49</v>
      </c>
      <c r="O17" s="5" t="s">
        <v>80</v>
      </c>
      <c r="P17" s="5" t="s">
        <v>50</v>
      </c>
      <c r="Q17" s="8">
        <v>46060</v>
      </c>
      <c r="R17" s="5"/>
      <c r="S17" s="5"/>
    </row>
    <row r="18" spans="1:19" x14ac:dyDescent="0.25">
      <c r="A18" s="4" t="s">
        <v>30</v>
      </c>
      <c r="B18" s="35" t="s">
        <v>75</v>
      </c>
      <c r="C18" s="5"/>
      <c r="D18" s="14"/>
      <c r="E18" s="5">
        <v>11.5</v>
      </c>
      <c r="F18" s="5">
        <v>164</v>
      </c>
      <c r="G18" s="5">
        <f t="shared" si="1"/>
        <v>152.5</v>
      </c>
      <c r="H18" s="141"/>
      <c r="I18" s="127" t="s">
        <v>60</v>
      </c>
      <c r="J18" s="128"/>
      <c r="K18" s="128"/>
      <c r="L18" s="128"/>
      <c r="M18" s="128"/>
      <c r="N18" s="128"/>
      <c r="O18" s="128"/>
      <c r="P18" s="128"/>
      <c r="Q18" s="129"/>
      <c r="R18" s="5"/>
      <c r="S18" s="5"/>
    </row>
    <row r="19" spans="1:19" x14ac:dyDescent="0.25">
      <c r="A19" s="4" t="s">
        <v>61</v>
      </c>
      <c r="B19" s="35" t="s">
        <v>62</v>
      </c>
      <c r="C19" s="5"/>
      <c r="D19" s="14"/>
      <c r="E19" s="5">
        <v>460</v>
      </c>
      <c r="F19" s="5">
        <v>6000</v>
      </c>
      <c r="G19" s="5">
        <f t="shared" si="1"/>
        <v>5540</v>
      </c>
      <c r="H19" s="141"/>
      <c r="I19" s="127" t="s">
        <v>60</v>
      </c>
      <c r="J19" s="128"/>
      <c r="K19" s="128"/>
      <c r="L19" s="128"/>
      <c r="M19" s="128"/>
      <c r="N19" s="128"/>
      <c r="O19" s="128"/>
      <c r="P19" s="128"/>
      <c r="Q19" s="129"/>
      <c r="R19" s="5"/>
      <c r="S19" s="5"/>
    </row>
    <row r="20" spans="1:19" x14ac:dyDescent="0.25">
      <c r="A20" s="4" t="s">
        <v>108</v>
      </c>
      <c r="B20" s="35" t="s">
        <v>84</v>
      </c>
      <c r="C20" s="5" t="s">
        <v>63</v>
      </c>
      <c r="D20" s="15" t="s">
        <v>85</v>
      </c>
      <c r="E20" s="5">
        <v>920</v>
      </c>
      <c r="F20" s="5">
        <v>8000</v>
      </c>
      <c r="G20" s="5">
        <f t="shared" si="1"/>
        <v>7080</v>
      </c>
      <c r="H20" s="141"/>
      <c r="I20" s="127" t="s">
        <v>60</v>
      </c>
      <c r="J20" s="128"/>
      <c r="K20" s="128"/>
      <c r="L20" s="128"/>
      <c r="M20" s="128"/>
      <c r="N20" s="128"/>
      <c r="O20" s="128"/>
      <c r="P20" s="128"/>
      <c r="Q20" s="129"/>
      <c r="R20" s="5"/>
      <c r="S20" s="5"/>
    </row>
    <row r="21" spans="1:19" x14ac:dyDescent="0.25">
      <c r="A21" s="4" t="s">
        <v>65</v>
      </c>
      <c r="B21" s="35" t="s">
        <v>66</v>
      </c>
      <c r="C21" s="5"/>
      <c r="D21" s="14"/>
      <c r="E21" s="5">
        <v>5.52</v>
      </c>
      <c r="F21" s="5">
        <v>302</v>
      </c>
      <c r="G21" s="5">
        <f t="shared" si="1"/>
        <v>296.48</v>
      </c>
      <c r="H21" s="141"/>
      <c r="I21" s="18">
        <v>45999</v>
      </c>
      <c r="J21" s="5" t="s">
        <v>71</v>
      </c>
      <c r="K21" s="30"/>
      <c r="L21" s="5" t="s">
        <v>69</v>
      </c>
      <c r="M21" s="5">
        <v>3000</v>
      </c>
      <c r="N21" s="5" t="s">
        <v>75</v>
      </c>
      <c r="O21" s="5" t="s">
        <v>75</v>
      </c>
      <c r="P21" s="5" t="s">
        <v>50</v>
      </c>
      <c r="Q21" s="8">
        <v>46057</v>
      </c>
      <c r="R21" s="5"/>
      <c r="S21" s="5"/>
    </row>
    <row r="22" spans="1:19" x14ac:dyDescent="0.25">
      <c r="A22" s="4" t="s">
        <v>72</v>
      </c>
      <c r="B22" s="35" t="s">
        <v>43</v>
      </c>
      <c r="C22" s="5"/>
      <c r="D22" s="14"/>
      <c r="E22" s="5">
        <v>16</v>
      </c>
      <c r="F22" s="5">
        <v>16</v>
      </c>
      <c r="G22" s="5">
        <f t="shared" si="1"/>
        <v>0</v>
      </c>
      <c r="H22" s="141"/>
      <c r="I22" s="18">
        <v>46045</v>
      </c>
      <c r="J22" s="5" t="s">
        <v>70</v>
      </c>
      <c r="K22" s="45">
        <v>46045</v>
      </c>
      <c r="L22" s="5" t="s">
        <v>64</v>
      </c>
      <c r="M22" s="5"/>
      <c r="N22" s="5" t="s">
        <v>75</v>
      </c>
      <c r="O22" s="5" t="s">
        <v>75</v>
      </c>
      <c r="P22" s="5" t="s">
        <v>50</v>
      </c>
      <c r="Q22" s="8">
        <v>46057</v>
      </c>
      <c r="R22" s="5"/>
      <c r="S22" s="5"/>
    </row>
    <row r="24" spans="1:19" x14ac:dyDescent="0.25">
      <c r="A24" s="53" t="s">
        <v>10</v>
      </c>
      <c r="B24" s="55" t="s">
        <v>171</v>
      </c>
      <c r="C24" s="2" t="s">
        <v>136</v>
      </c>
    </row>
    <row r="25" spans="1:19" s="11" customFormat="1" ht="30" x14ac:dyDescent="0.25">
      <c r="A25" s="9" t="s">
        <v>42</v>
      </c>
      <c r="B25" s="34" t="s">
        <v>2</v>
      </c>
      <c r="C25" s="9" t="s">
        <v>13</v>
      </c>
      <c r="D25" s="9" t="s">
        <v>14</v>
      </c>
      <c r="E25" s="9" t="s">
        <v>4</v>
      </c>
      <c r="F25" s="10" t="s">
        <v>94</v>
      </c>
      <c r="G25" s="10" t="s">
        <v>103</v>
      </c>
      <c r="H25" s="9" t="s">
        <v>34</v>
      </c>
      <c r="I25" s="9" t="s">
        <v>11</v>
      </c>
      <c r="J25" s="10" t="s">
        <v>58</v>
      </c>
      <c r="K25" s="10" t="s">
        <v>86</v>
      </c>
      <c r="L25" s="9" t="s">
        <v>8</v>
      </c>
      <c r="M25" s="9" t="s">
        <v>7</v>
      </c>
      <c r="N25" s="9" t="s">
        <v>31</v>
      </c>
      <c r="O25" s="9" t="s">
        <v>32</v>
      </c>
      <c r="P25" s="9" t="s">
        <v>29</v>
      </c>
      <c r="Q25" s="9" t="s">
        <v>33</v>
      </c>
      <c r="R25" s="9" t="s">
        <v>26</v>
      </c>
      <c r="S25" s="9" t="s">
        <v>27</v>
      </c>
    </row>
    <row r="26" spans="1:19" x14ac:dyDescent="0.25">
      <c r="A26" s="4" t="s">
        <v>0</v>
      </c>
      <c r="B26" s="35" t="s">
        <v>45</v>
      </c>
      <c r="C26" s="5"/>
      <c r="D26" s="14"/>
      <c r="E26" s="5">
        <v>15000</v>
      </c>
      <c r="F26" s="5">
        <f>G5</f>
        <v>110076</v>
      </c>
      <c r="G26" s="5">
        <f>F26-E26</f>
        <v>95076</v>
      </c>
      <c r="H26" s="141">
        <v>45803</v>
      </c>
      <c r="I26" s="127" t="s">
        <v>60</v>
      </c>
      <c r="J26" s="128"/>
      <c r="K26" s="128"/>
      <c r="L26" s="128"/>
      <c r="M26" s="128"/>
      <c r="N26" s="128"/>
      <c r="O26" s="128"/>
      <c r="P26" s="128"/>
      <c r="Q26" s="129"/>
      <c r="R26" s="5"/>
      <c r="S26" s="5"/>
    </row>
    <row r="27" spans="1:19" x14ac:dyDescent="0.25">
      <c r="A27" s="4" t="s">
        <v>131</v>
      </c>
      <c r="B27" s="35" t="s">
        <v>45</v>
      </c>
      <c r="C27" s="43"/>
      <c r="D27" s="44"/>
      <c r="E27" s="5">
        <f>2.05*1000</f>
        <v>2050</v>
      </c>
      <c r="F27" s="5">
        <f>G6</f>
        <v>19759</v>
      </c>
      <c r="G27" s="5">
        <f>F27-E27</f>
        <v>17709</v>
      </c>
      <c r="H27" s="141"/>
      <c r="I27" s="127" t="s">
        <v>60</v>
      </c>
      <c r="J27" s="128"/>
      <c r="K27" s="128"/>
      <c r="L27" s="128"/>
      <c r="M27" s="128"/>
      <c r="N27" s="128"/>
      <c r="O27" s="128"/>
      <c r="P27" s="128"/>
      <c r="Q27" s="129"/>
      <c r="R27" s="5"/>
      <c r="S27" s="5"/>
    </row>
    <row r="28" spans="1:19" x14ac:dyDescent="0.25">
      <c r="A28" s="4" t="s">
        <v>129</v>
      </c>
      <c r="B28" s="35" t="s">
        <v>45</v>
      </c>
      <c r="C28" s="43"/>
      <c r="D28" s="44"/>
      <c r="E28" s="5">
        <f>2.05*1000</f>
        <v>2050</v>
      </c>
      <c r="F28" s="5">
        <f t="shared" ref="F28:F29" si="2">G7</f>
        <v>15779</v>
      </c>
      <c r="G28" s="5">
        <f t="shared" ref="G28:G29" si="3">F28-E28</f>
        <v>13729</v>
      </c>
      <c r="H28" s="141"/>
      <c r="I28" s="127" t="s">
        <v>60</v>
      </c>
      <c r="J28" s="128"/>
      <c r="K28" s="128"/>
      <c r="L28" s="128"/>
      <c r="M28" s="128"/>
      <c r="N28" s="128"/>
      <c r="O28" s="128"/>
      <c r="P28" s="128"/>
      <c r="Q28" s="129"/>
      <c r="R28" s="5"/>
      <c r="S28" s="5"/>
    </row>
    <row r="29" spans="1:19" x14ac:dyDescent="0.25">
      <c r="A29" s="4" t="s">
        <v>130</v>
      </c>
      <c r="B29" s="35" t="s">
        <v>45</v>
      </c>
      <c r="C29" s="43"/>
      <c r="D29" s="44"/>
      <c r="E29" s="5">
        <v>1000</v>
      </c>
      <c r="F29" s="5">
        <f t="shared" si="2"/>
        <v>9348</v>
      </c>
      <c r="G29" s="5">
        <f t="shared" si="3"/>
        <v>8348</v>
      </c>
      <c r="H29" s="141"/>
      <c r="I29" s="127" t="s">
        <v>60</v>
      </c>
      <c r="J29" s="128"/>
      <c r="K29" s="128"/>
      <c r="L29" s="128"/>
      <c r="M29" s="128"/>
      <c r="N29" s="128"/>
      <c r="O29" s="128"/>
      <c r="P29" s="128"/>
      <c r="Q29" s="129"/>
      <c r="R29" s="5"/>
      <c r="S29" s="5"/>
    </row>
    <row r="30" spans="1:19" x14ac:dyDescent="0.25">
      <c r="A30" s="4" t="s">
        <v>105</v>
      </c>
      <c r="B30" s="98" t="s">
        <v>35</v>
      </c>
      <c r="C30" s="100" t="s">
        <v>12</v>
      </c>
      <c r="D30" s="102" t="s">
        <v>15</v>
      </c>
      <c r="E30" s="5">
        <v>1000</v>
      </c>
      <c r="F30" s="5">
        <v>2560</v>
      </c>
      <c r="G30" s="5">
        <f t="shared" ref="G30:G41" si="4">F30-E30</f>
        <v>1560</v>
      </c>
      <c r="H30" s="141"/>
      <c r="I30" s="18">
        <v>46003</v>
      </c>
      <c r="J30" s="5" t="s">
        <v>56</v>
      </c>
      <c r="K30" s="45">
        <v>46041</v>
      </c>
      <c r="L30" s="7" t="s">
        <v>74</v>
      </c>
      <c r="M30" s="5">
        <v>2060</v>
      </c>
      <c r="N30" s="42" t="s">
        <v>49</v>
      </c>
      <c r="O30" s="5" t="s">
        <v>80</v>
      </c>
      <c r="P30" s="5" t="s">
        <v>50</v>
      </c>
      <c r="Q30" s="8">
        <v>46059</v>
      </c>
      <c r="R30" s="25">
        <v>46063</v>
      </c>
      <c r="S30" s="51">
        <v>46067</v>
      </c>
    </row>
    <row r="31" spans="1:19" x14ac:dyDescent="0.25">
      <c r="A31" s="4" t="s">
        <v>59</v>
      </c>
      <c r="B31" s="99"/>
      <c r="C31" s="101"/>
      <c r="D31" s="103"/>
      <c r="E31" s="5">
        <v>118</v>
      </c>
      <c r="F31" s="5">
        <f>G11</f>
        <v>570.52</v>
      </c>
      <c r="G31" s="5">
        <f t="shared" si="4"/>
        <v>452.52</v>
      </c>
      <c r="H31" s="141"/>
      <c r="I31" s="127" t="s">
        <v>60</v>
      </c>
      <c r="J31" s="128"/>
      <c r="K31" s="128"/>
      <c r="L31" s="128"/>
      <c r="M31" s="128"/>
      <c r="N31" s="128"/>
      <c r="O31" s="128"/>
      <c r="P31" s="128"/>
      <c r="Q31" s="129"/>
      <c r="R31" s="5"/>
      <c r="S31" s="5"/>
    </row>
    <row r="32" spans="1:19" x14ac:dyDescent="0.25">
      <c r="A32" s="4" t="s">
        <v>47</v>
      </c>
      <c r="B32" s="98" t="s">
        <v>36</v>
      </c>
      <c r="C32" s="100" t="s">
        <v>41</v>
      </c>
      <c r="D32" s="146" t="s">
        <v>40</v>
      </c>
      <c r="E32" s="5">
        <v>703</v>
      </c>
      <c r="F32" s="5">
        <f>G13</f>
        <v>978.5</v>
      </c>
      <c r="G32" s="5">
        <f t="shared" si="4"/>
        <v>275.5</v>
      </c>
      <c r="H32" s="141"/>
      <c r="I32" s="119">
        <v>46045</v>
      </c>
      <c r="J32" s="5" t="s">
        <v>56</v>
      </c>
      <c r="K32" s="115">
        <v>46048</v>
      </c>
      <c r="L32" s="5" t="s">
        <v>46</v>
      </c>
      <c r="M32" s="5">
        <v>1050</v>
      </c>
      <c r="N32" s="42" t="s">
        <v>49</v>
      </c>
      <c r="O32" s="5" t="s">
        <v>80</v>
      </c>
      <c r="P32" s="5" t="s">
        <v>50</v>
      </c>
      <c r="Q32" s="8">
        <v>46059</v>
      </c>
      <c r="R32" s="5"/>
      <c r="S32" s="5" t="s">
        <v>183</v>
      </c>
    </row>
    <row r="33" spans="1:19" x14ac:dyDescent="0.25">
      <c r="A33" s="4" t="s">
        <v>48</v>
      </c>
      <c r="B33" s="99"/>
      <c r="C33" s="101"/>
      <c r="D33" s="147"/>
      <c r="E33" s="5">
        <v>1054.5</v>
      </c>
      <c r="F33" s="5">
        <f>G14</f>
        <v>1391.8</v>
      </c>
      <c r="G33" s="5">
        <f t="shared" si="4"/>
        <v>337.29999999999995</v>
      </c>
      <c r="H33" s="141"/>
      <c r="I33" s="140"/>
      <c r="J33" s="5" t="s">
        <v>56</v>
      </c>
      <c r="K33" s="142"/>
      <c r="L33" s="5" t="s">
        <v>46</v>
      </c>
      <c r="M33" s="5">
        <v>1500</v>
      </c>
      <c r="N33" s="42" t="s">
        <v>49</v>
      </c>
      <c r="O33" s="5" t="s">
        <v>80</v>
      </c>
      <c r="P33" s="5" t="s">
        <v>50</v>
      </c>
      <c r="Q33" s="8">
        <v>46059</v>
      </c>
      <c r="R33" s="5"/>
      <c r="S33" s="5"/>
    </row>
    <row r="34" spans="1:19" x14ac:dyDescent="0.25">
      <c r="A34" s="4" t="s">
        <v>3</v>
      </c>
      <c r="B34" s="35" t="s">
        <v>68</v>
      </c>
      <c r="C34" s="5"/>
      <c r="D34" s="15"/>
      <c r="E34" s="5">
        <v>0.74</v>
      </c>
      <c r="F34" s="5">
        <f>G15</f>
        <v>28.700000000000003</v>
      </c>
      <c r="G34" s="5">
        <f t="shared" si="4"/>
        <v>27.960000000000004</v>
      </c>
      <c r="H34" s="141"/>
      <c r="I34" s="127" t="s">
        <v>60</v>
      </c>
      <c r="J34" s="128"/>
      <c r="K34" s="128"/>
      <c r="L34" s="128"/>
      <c r="M34" s="128"/>
      <c r="N34" s="128"/>
      <c r="O34" s="128"/>
      <c r="P34" s="128"/>
      <c r="Q34" s="129"/>
      <c r="R34" s="5"/>
      <c r="S34" s="5"/>
    </row>
    <row r="35" spans="1:19" x14ac:dyDescent="0.25">
      <c r="A35" s="4" t="s">
        <v>67</v>
      </c>
      <c r="B35" s="35" t="s">
        <v>5</v>
      </c>
      <c r="C35" s="5" t="s">
        <v>16</v>
      </c>
      <c r="D35" s="15" t="s">
        <v>6</v>
      </c>
      <c r="E35" s="5">
        <v>5.0599999999999996</v>
      </c>
      <c r="F35" s="5">
        <f>G16</f>
        <v>38.36</v>
      </c>
      <c r="G35" s="5">
        <f t="shared" si="4"/>
        <v>33.299999999999997</v>
      </c>
      <c r="H35" s="141"/>
      <c r="I35" s="127" t="s">
        <v>60</v>
      </c>
      <c r="J35" s="128"/>
      <c r="K35" s="128"/>
      <c r="L35" s="128"/>
      <c r="M35" s="128"/>
      <c r="N35" s="128"/>
      <c r="O35" s="128"/>
      <c r="P35" s="128"/>
      <c r="Q35" s="129"/>
      <c r="R35" s="5"/>
      <c r="S35" s="5"/>
    </row>
    <row r="36" spans="1:19" x14ac:dyDescent="0.25">
      <c r="A36" s="4" t="s">
        <v>99</v>
      </c>
      <c r="B36" s="35" t="s">
        <v>37</v>
      </c>
      <c r="C36" s="5" t="s">
        <v>38</v>
      </c>
      <c r="D36" s="15" t="s">
        <v>39</v>
      </c>
      <c r="E36" s="5">
        <v>1025</v>
      </c>
      <c r="F36" s="5">
        <f>G17+M36</f>
        <v>1264</v>
      </c>
      <c r="G36" s="5">
        <f t="shared" si="4"/>
        <v>239</v>
      </c>
      <c r="H36" s="141"/>
      <c r="I36" s="18">
        <v>45989</v>
      </c>
      <c r="J36" s="5" t="s">
        <v>56</v>
      </c>
      <c r="K36" s="45">
        <v>46036</v>
      </c>
      <c r="L36" s="5" t="s">
        <v>51</v>
      </c>
      <c r="M36" s="5">
        <v>1030</v>
      </c>
      <c r="N36" s="42" t="s">
        <v>49</v>
      </c>
      <c r="O36" s="5" t="s">
        <v>80</v>
      </c>
      <c r="P36" s="5" t="s">
        <v>50</v>
      </c>
      <c r="Q36" s="8">
        <v>46060</v>
      </c>
      <c r="R36" s="5"/>
      <c r="S36" s="5"/>
    </row>
    <row r="37" spans="1:19" x14ac:dyDescent="0.25">
      <c r="A37" s="4" t="s">
        <v>30</v>
      </c>
      <c r="B37" s="35" t="s">
        <v>75</v>
      </c>
      <c r="C37" s="5"/>
      <c r="D37" s="14"/>
      <c r="E37" s="5">
        <v>25</v>
      </c>
      <c r="F37" s="5">
        <f>G18</f>
        <v>152.5</v>
      </c>
      <c r="G37" s="5">
        <f t="shared" si="4"/>
        <v>127.5</v>
      </c>
      <c r="H37" s="141"/>
      <c r="I37" s="127" t="s">
        <v>60</v>
      </c>
      <c r="J37" s="128"/>
      <c r="K37" s="128"/>
      <c r="L37" s="128"/>
      <c r="M37" s="128"/>
      <c r="N37" s="128"/>
      <c r="O37" s="128"/>
      <c r="P37" s="128"/>
      <c r="Q37" s="129"/>
      <c r="R37" s="5"/>
      <c r="S37" s="5"/>
    </row>
    <row r="38" spans="1:19" x14ac:dyDescent="0.25">
      <c r="A38" s="4" t="s">
        <v>61</v>
      </c>
      <c r="B38" s="35" t="s">
        <v>62</v>
      </c>
      <c r="C38" s="5"/>
      <c r="D38" s="14"/>
      <c r="E38" s="5">
        <v>1000</v>
      </c>
      <c r="F38" s="5">
        <v>5000</v>
      </c>
      <c r="G38" s="5">
        <f t="shared" si="4"/>
        <v>4000</v>
      </c>
      <c r="H38" s="141"/>
      <c r="I38" s="127" t="s">
        <v>60</v>
      </c>
      <c r="J38" s="128"/>
      <c r="K38" s="128"/>
      <c r="L38" s="128"/>
      <c r="M38" s="128"/>
      <c r="N38" s="128"/>
      <c r="O38" s="128"/>
      <c r="P38" s="128"/>
      <c r="Q38" s="129"/>
      <c r="R38" s="5"/>
      <c r="S38" s="5"/>
    </row>
    <row r="39" spans="1:19" x14ac:dyDescent="0.25">
      <c r="A39" s="4" t="s">
        <v>110</v>
      </c>
      <c r="B39" s="98" t="s">
        <v>44</v>
      </c>
      <c r="C39" s="100" t="s">
        <v>63</v>
      </c>
      <c r="D39" s="149"/>
      <c r="E39" s="5">
        <v>1000</v>
      </c>
      <c r="F39" s="5">
        <v>2280</v>
      </c>
      <c r="G39" s="5">
        <f t="shared" si="4"/>
        <v>1280</v>
      </c>
      <c r="H39" s="141"/>
      <c r="I39" s="127" t="s">
        <v>60</v>
      </c>
      <c r="J39" s="128"/>
      <c r="K39" s="128"/>
      <c r="L39" s="128"/>
      <c r="M39" s="128"/>
      <c r="N39" s="128"/>
      <c r="O39" s="128"/>
      <c r="P39" s="128"/>
      <c r="Q39" s="129"/>
      <c r="R39" s="5"/>
      <c r="S39" s="5"/>
    </row>
    <row r="40" spans="1:19" x14ac:dyDescent="0.25">
      <c r="A40" s="4" t="s">
        <v>109</v>
      </c>
      <c r="B40" s="99"/>
      <c r="C40" s="101"/>
      <c r="D40" s="150"/>
      <c r="E40" s="5">
        <v>1000</v>
      </c>
      <c r="F40" s="5">
        <v>2280</v>
      </c>
      <c r="G40" s="5">
        <f t="shared" si="4"/>
        <v>1280</v>
      </c>
      <c r="H40" s="141"/>
      <c r="I40" s="127" t="s">
        <v>60</v>
      </c>
      <c r="J40" s="128"/>
      <c r="K40" s="128"/>
      <c r="L40" s="128"/>
      <c r="M40" s="128"/>
      <c r="N40" s="128"/>
      <c r="O40" s="128"/>
      <c r="P40" s="128"/>
      <c r="Q40" s="129"/>
      <c r="R40" s="5"/>
      <c r="S40" s="5"/>
    </row>
    <row r="41" spans="1:19" x14ac:dyDescent="0.25">
      <c r="A41" s="4" t="s">
        <v>65</v>
      </c>
      <c r="B41" s="35" t="s">
        <v>66</v>
      </c>
      <c r="C41" s="5"/>
      <c r="D41" s="14"/>
      <c r="E41" s="5">
        <v>95</v>
      </c>
      <c r="F41" s="5">
        <f>G21</f>
        <v>296.48</v>
      </c>
      <c r="G41" s="5">
        <f t="shared" si="4"/>
        <v>201.48000000000002</v>
      </c>
      <c r="H41" s="141"/>
      <c r="I41" s="18">
        <v>45999</v>
      </c>
      <c r="J41" s="5" t="s">
        <v>71</v>
      </c>
      <c r="K41" s="30"/>
      <c r="L41" s="5" t="s">
        <v>69</v>
      </c>
      <c r="M41" s="5">
        <v>3000</v>
      </c>
      <c r="N41" s="5" t="s">
        <v>75</v>
      </c>
      <c r="O41" s="5" t="s">
        <v>75</v>
      </c>
      <c r="P41" s="5" t="s">
        <v>54</v>
      </c>
      <c r="Q41" s="8"/>
      <c r="R41" s="5"/>
      <c r="S41" s="5"/>
    </row>
    <row r="42" spans="1:19" x14ac:dyDescent="0.25">
      <c r="A42" s="4" t="s">
        <v>72</v>
      </c>
      <c r="B42" s="35" t="s">
        <v>43</v>
      </c>
      <c r="C42" s="5"/>
      <c r="D42" s="14"/>
      <c r="E42" s="5">
        <v>34</v>
      </c>
      <c r="F42" s="5">
        <v>34</v>
      </c>
      <c r="G42" s="5">
        <f>F42-E42</f>
        <v>0</v>
      </c>
      <c r="H42" s="141"/>
      <c r="I42" s="18">
        <v>46045</v>
      </c>
      <c r="J42" s="5" t="s">
        <v>70</v>
      </c>
      <c r="K42" s="45">
        <v>46045</v>
      </c>
      <c r="L42" s="5" t="s">
        <v>64</v>
      </c>
      <c r="M42" s="5"/>
      <c r="N42" s="5" t="s">
        <v>75</v>
      </c>
      <c r="O42" s="5" t="s">
        <v>75</v>
      </c>
      <c r="P42" s="5" t="s">
        <v>82</v>
      </c>
      <c r="Q42" s="8"/>
      <c r="R42" s="5"/>
      <c r="S42" s="5"/>
    </row>
    <row r="44" spans="1:19" x14ac:dyDescent="0.25">
      <c r="A44" s="53" t="s">
        <v>116</v>
      </c>
      <c r="B44" s="33" t="s">
        <v>77</v>
      </c>
      <c r="C44" s="2" t="s">
        <v>133</v>
      </c>
    </row>
    <row r="45" spans="1:19" s="11" customFormat="1" ht="30" x14ac:dyDescent="0.25">
      <c r="A45" s="9" t="s">
        <v>42</v>
      </c>
      <c r="B45" s="34" t="s">
        <v>2</v>
      </c>
      <c r="C45" s="9" t="s">
        <v>13</v>
      </c>
      <c r="D45" s="13" t="s">
        <v>14</v>
      </c>
      <c r="E45" s="9" t="s">
        <v>4</v>
      </c>
      <c r="F45" s="10" t="s">
        <v>94</v>
      </c>
      <c r="G45" s="10" t="s">
        <v>103</v>
      </c>
      <c r="H45" s="9" t="s">
        <v>34</v>
      </c>
      <c r="I45" s="9" t="s">
        <v>11</v>
      </c>
      <c r="J45" s="10" t="s">
        <v>58</v>
      </c>
      <c r="K45" s="10" t="s">
        <v>86</v>
      </c>
      <c r="L45" s="9" t="s">
        <v>8</v>
      </c>
      <c r="M45" s="9" t="s">
        <v>7</v>
      </c>
      <c r="N45" s="9" t="s">
        <v>31</v>
      </c>
      <c r="O45" s="9" t="s">
        <v>32</v>
      </c>
      <c r="P45" s="9" t="s">
        <v>29</v>
      </c>
      <c r="Q45" s="9" t="s">
        <v>33</v>
      </c>
      <c r="R45" s="9" t="s">
        <v>26</v>
      </c>
      <c r="S45" s="9" t="s">
        <v>27</v>
      </c>
    </row>
    <row r="46" spans="1:19" x14ac:dyDescent="0.25">
      <c r="A46" s="4" t="s">
        <v>0</v>
      </c>
      <c r="B46" s="35" t="s">
        <v>45</v>
      </c>
      <c r="C46" s="5"/>
      <c r="D46" s="14"/>
      <c r="E46" s="5">
        <v>5835</v>
      </c>
      <c r="F46" s="5">
        <f>G26</f>
        <v>95076</v>
      </c>
      <c r="G46" s="5">
        <f>F46-E46</f>
        <v>89241</v>
      </c>
      <c r="H46" s="141">
        <v>45932</v>
      </c>
      <c r="I46" s="127" t="s">
        <v>60</v>
      </c>
      <c r="J46" s="128"/>
      <c r="K46" s="128"/>
      <c r="L46" s="128"/>
      <c r="M46" s="128"/>
      <c r="N46" s="128"/>
      <c r="O46" s="128"/>
      <c r="P46" s="128"/>
      <c r="Q46" s="129"/>
      <c r="R46" s="5"/>
      <c r="S46" s="5"/>
    </row>
    <row r="47" spans="1:19" x14ac:dyDescent="0.25">
      <c r="A47" s="4" t="s">
        <v>131</v>
      </c>
      <c r="B47" s="35" t="s">
        <v>45</v>
      </c>
      <c r="C47" s="43"/>
      <c r="D47" s="44"/>
      <c r="E47" s="5">
        <v>1025</v>
      </c>
      <c r="F47" s="5">
        <f>G27</f>
        <v>17709</v>
      </c>
      <c r="G47" s="5">
        <f>F47-E47</f>
        <v>16684</v>
      </c>
      <c r="H47" s="141"/>
      <c r="I47" s="127" t="s">
        <v>60</v>
      </c>
      <c r="J47" s="128"/>
      <c r="K47" s="128"/>
      <c r="L47" s="128"/>
      <c r="M47" s="128"/>
      <c r="N47" s="128"/>
      <c r="O47" s="128"/>
      <c r="P47" s="128"/>
      <c r="Q47" s="129"/>
      <c r="R47" s="5"/>
      <c r="S47" s="5"/>
    </row>
    <row r="48" spans="1:19" x14ac:dyDescent="0.25">
      <c r="A48" s="4" t="s">
        <v>129</v>
      </c>
      <c r="B48" s="35" t="s">
        <v>45</v>
      </c>
      <c r="C48" s="43"/>
      <c r="D48" s="44"/>
      <c r="E48" s="5">
        <v>1025</v>
      </c>
      <c r="F48" s="5">
        <f>G28+M48</f>
        <v>13729</v>
      </c>
      <c r="G48" s="5">
        <f t="shared" ref="G48:G49" si="5">F48-E48</f>
        <v>12704</v>
      </c>
      <c r="H48" s="141"/>
      <c r="I48" s="127" t="s">
        <v>60</v>
      </c>
      <c r="J48" s="128"/>
      <c r="K48" s="128"/>
      <c r="L48" s="128"/>
      <c r="M48" s="128"/>
      <c r="N48" s="128"/>
      <c r="O48" s="128"/>
      <c r="P48" s="128"/>
      <c r="Q48" s="129"/>
      <c r="R48" s="5"/>
      <c r="S48" s="5"/>
    </row>
    <row r="49" spans="1:19" x14ac:dyDescent="0.25">
      <c r="A49" s="4" t="s">
        <v>130</v>
      </c>
      <c r="B49" s="35" t="s">
        <v>45</v>
      </c>
      <c r="C49" s="43"/>
      <c r="D49" s="44"/>
      <c r="E49" s="5">
        <v>500</v>
      </c>
      <c r="F49" s="5">
        <f t="shared" ref="F49" si="6">G29</f>
        <v>8348</v>
      </c>
      <c r="G49" s="5">
        <f t="shared" si="5"/>
        <v>7848</v>
      </c>
      <c r="H49" s="141"/>
      <c r="I49" s="127" t="s">
        <v>60</v>
      </c>
      <c r="J49" s="128"/>
      <c r="K49" s="128"/>
      <c r="L49" s="128"/>
      <c r="M49" s="128"/>
      <c r="N49" s="128"/>
      <c r="O49" s="128"/>
      <c r="P49" s="128"/>
      <c r="Q49" s="129"/>
      <c r="R49" s="5"/>
      <c r="S49" s="58">
        <v>500</v>
      </c>
    </row>
    <row r="50" spans="1:19" ht="15" customHeight="1" x14ac:dyDescent="0.25">
      <c r="A50" s="4" t="s">
        <v>104</v>
      </c>
      <c r="B50" s="98" t="s">
        <v>35</v>
      </c>
      <c r="C50" s="100" t="s">
        <v>12</v>
      </c>
      <c r="D50" s="102" t="s">
        <v>15</v>
      </c>
      <c r="E50" s="5">
        <v>500</v>
      </c>
      <c r="F50" s="5">
        <f>G9</f>
        <v>776</v>
      </c>
      <c r="G50" s="5">
        <f t="shared" ref="G50:G54" si="7">F50-E50</f>
        <v>276</v>
      </c>
      <c r="H50" s="141"/>
      <c r="I50" s="119">
        <v>46055</v>
      </c>
      <c r="J50" s="100" t="s">
        <v>56</v>
      </c>
      <c r="K50" s="123">
        <v>46056</v>
      </c>
      <c r="L50" s="100" t="s">
        <v>53</v>
      </c>
      <c r="M50" s="5">
        <v>2100</v>
      </c>
      <c r="N50" s="143" t="s">
        <v>49</v>
      </c>
      <c r="O50" s="106" t="s">
        <v>81</v>
      </c>
      <c r="P50" s="106" t="s">
        <v>87</v>
      </c>
      <c r="Q50" s="111">
        <v>46071</v>
      </c>
      <c r="R50" s="8"/>
      <c r="S50" s="58" t="s">
        <v>144</v>
      </c>
    </row>
    <row r="51" spans="1:19" x14ac:dyDescent="0.25">
      <c r="A51" s="4" t="s">
        <v>143</v>
      </c>
      <c r="B51" s="105"/>
      <c r="C51" s="104"/>
      <c r="D51" s="148"/>
      <c r="E51" s="5">
        <v>97.7</v>
      </c>
      <c r="F51" s="5">
        <f>G10</f>
        <v>224.91999999999996</v>
      </c>
      <c r="G51" s="5">
        <f t="shared" si="7"/>
        <v>127.21999999999996</v>
      </c>
      <c r="H51" s="141"/>
      <c r="I51" s="139"/>
      <c r="J51" s="104"/>
      <c r="K51" s="124"/>
      <c r="L51" s="104"/>
      <c r="M51" s="5">
        <v>660</v>
      </c>
      <c r="N51" s="144"/>
      <c r="O51" s="135"/>
      <c r="P51" s="135"/>
      <c r="Q51" s="136"/>
      <c r="R51" s="5"/>
      <c r="S51" s="5"/>
    </row>
    <row r="52" spans="1:19" x14ac:dyDescent="0.25">
      <c r="A52" s="4" t="s">
        <v>59</v>
      </c>
      <c r="B52" s="99"/>
      <c r="C52" s="101"/>
      <c r="D52" s="103"/>
      <c r="E52" s="5">
        <v>20</v>
      </c>
      <c r="F52" s="5">
        <f>G31</f>
        <v>452.52</v>
      </c>
      <c r="G52" s="5">
        <f t="shared" si="7"/>
        <v>432.52</v>
      </c>
      <c r="H52" s="141"/>
      <c r="I52" s="140"/>
      <c r="J52" s="101"/>
      <c r="K52" s="125"/>
      <c r="L52" s="101"/>
      <c r="M52" s="5">
        <v>392</v>
      </c>
      <c r="N52" s="145"/>
      <c r="O52" s="107"/>
      <c r="P52" s="107"/>
      <c r="Q52" s="112"/>
      <c r="R52" s="5"/>
      <c r="S52" s="5"/>
    </row>
    <row r="53" spans="1:19" x14ac:dyDescent="0.25">
      <c r="A53" s="4" t="s">
        <v>47</v>
      </c>
      <c r="B53" s="98" t="s">
        <v>36</v>
      </c>
      <c r="C53" s="100" t="s">
        <v>41</v>
      </c>
      <c r="D53" s="146" t="s">
        <v>40</v>
      </c>
      <c r="E53" s="5">
        <v>197.2</v>
      </c>
      <c r="F53" s="5">
        <f>G32</f>
        <v>275.5</v>
      </c>
      <c r="G53" s="5">
        <f t="shared" si="7"/>
        <v>78.300000000000011</v>
      </c>
      <c r="H53" s="141"/>
      <c r="I53" s="119">
        <v>46051</v>
      </c>
      <c r="J53" s="100" t="s">
        <v>56</v>
      </c>
      <c r="K53" s="115">
        <v>46056</v>
      </c>
      <c r="L53" s="100" t="s">
        <v>52</v>
      </c>
      <c r="M53" s="5">
        <v>2850</v>
      </c>
      <c r="N53" s="100" t="s">
        <v>89</v>
      </c>
      <c r="O53" s="106" t="s">
        <v>91</v>
      </c>
      <c r="P53" s="5" t="s">
        <v>54</v>
      </c>
      <c r="Q53" s="111">
        <v>46106</v>
      </c>
      <c r="R53" s="5"/>
      <c r="S53" s="5"/>
    </row>
    <row r="54" spans="1:19" x14ac:dyDescent="0.25">
      <c r="A54" s="4" t="s">
        <v>48</v>
      </c>
      <c r="B54" s="99"/>
      <c r="C54" s="101"/>
      <c r="D54" s="147"/>
      <c r="E54" s="5">
        <v>295.60000000000002</v>
      </c>
      <c r="F54" s="5">
        <f>G33</f>
        <v>337.29999999999995</v>
      </c>
      <c r="G54" s="5">
        <f t="shared" si="7"/>
        <v>41.699999999999932</v>
      </c>
      <c r="H54" s="141"/>
      <c r="I54" s="101"/>
      <c r="J54" s="101"/>
      <c r="K54" s="116"/>
      <c r="L54" s="101"/>
      <c r="M54" s="6">
        <v>3750</v>
      </c>
      <c r="N54" s="101"/>
      <c r="O54" s="107"/>
      <c r="P54" s="5" t="s">
        <v>54</v>
      </c>
      <c r="Q54" s="112"/>
      <c r="R54" s="5"/>
      <c r="S54" s="5"/>
    </row>
    <row r="55" spans="1:19" x14ac:dyDescent="0.25">
      <c r="A55" s="151" t="s">
        <v>106</v>
      </c>
      <c r="B55" s="98" t="s">
        <v>93</v>
      </c>
      <c r="C55" s="100" t="s">
        <v>88</v>
      </c>
      <c r="D55" s="102"/>
      <c r="E55" s="100"/>
      <c r="F55" s="5"/>
      <c r="G55" s="5"/>
      <c r="H55" s="141"/>
      <c r="I55" s="113">
        <v>46062</v>
      </c>
      <c r="J55" s="100" t="s">
        <v>56</v>
      </c>
      <c r="K55" s="115">
        <v>46064</v>
      </c>
      <c r="L55" s="117" t="s">
        <v>90</v>
      </c>
      <c r="M55" s="5">
        <v>2700</v>
      </c>
      <c r="N55" s="21" t="s">
        <v>49</v>
      </c>
      <c r="O55" s="106" t="s">
        <v>81</v>
      </c>
      <c r="P55" s="5" t="s">
        <v>54</v>
      </c>
      <c r="Q55" s="24">
        <v>46072</v>
      </c>
      <c r="R55" s="5"/>
      <c r="S55" s="5"/>
    </row>
    <row r="56" spans="1:19" x14ac:dyDescent="0.25">
      <c r="A56" s="152"/>
      <c r="B56" s="99"/>
      <c r="C56" s="101"/>
      <c r="D56" s="103"/>
      <c r="E56" s="101"/>
      <c r="F56" s="5"/>
      <c r="G56" s="5"/>
      <c r="H56" s="141"/>
      <c r="I56" s="114"/>
      <c r="J56" s="101"/>
      <c r="K56" s="116"/>
      <c r="L56" s="118"/>
      <c r="M56" s="6">
        <f>6300-M55</f>
        <v>3600</v>
      </c>
      <c r="N56" s="21" t="s">
        <v>89</v>
      </c>
      <c r="O56" s="107"/>
      <c r="P56" s="5" t="s">
        <v>54</v>
      </c>
      <c r="Q56" s="24">
        <v>46091</v>
      </c>
      <c r="R56" s="5"/>
      <c r="S56" s="5"/>
    </row>
    <row r="57" spans="1:19" x14ac:dyDescent="0.25">
      <c r="A57" s="4" t="s">
        <v>3</v>
      </c>
      <c r="B57" s="35" t="s">
        <v>68</v>
      </c>
      <c r="C57" s="5"/>
      <c r="D57" s="15"/>
      <c r="E57" s="5">
        <f>E15</f>
        <v>0.74</v>
      </c>
      <c r="F57" s="5">
        <f>G34</f>
        <v>27.960000000000004</v>
      </c>
      <c r="G57" s="5">
        <f t="shared" ref="G57:G64" si="8">F57-E57</f>
        <v>27.220000000000006</v>
      </c>
      <c r="H57" s="141"/>
      <c r="I57" s="127" t="s">
        <v>60</v>
      </c>
      <c r="J57" s="128"/>
      <c r="K57" s="128"/>
      <c r="L57" s="128"/>
      <c r="M57" s="128"/>
      <c r="N57" s="128"/>
      <c r="O57" s="128"/>
      <c r="P57" s="128"/>
      <c r="Q57" s="129"/>
      <c r="R57" s="5"/>
      <c r="S57" s="5"/>
    </row>
    <row r="58" spans="1:19" x14ac:dyDescent="0.25">
      <c r="A58" s="4" t="s">
        <v>67</v>
      </c>
      <c r="B58" s="35" t="s">
        <v>5</v>
      </c>
      <c r="C58" s="5" t="s">
        <v>16</v>
      </c>
      <c r="D58" s="15" t="s">
        <v>6</v>
      </c>
      <c r="E58" s="5">
        <f>E16</f>
        <v>5.0599999999999996</v>
      </c>
      <c r="F58" s="5">
        <f>G35</f>
        <v>33.299999999999997</v>
      </c>
      <c r="G58" s="5">
        <f t="shared" si="8"/>
        <v>28.24</v>
      </c>
      <c r="H58" s="141"/>
      <c r="I58" s="5"/>
      <c r="J58" s="5" t="s">
        <v>56</v>
      </c>
      <c r="K58" s="45">
        <v>46041</v>
      </c>
      <c r="L58" s="5" t="s">
        <v>79</v>
      </c>
      <c r="M58" s="5">
        <v>50</v>
      </c>
      <c r="N58" s="42" t="s">
        <v>49</v>
      </c>
      <c r="O58" s="5" t="s">
        <v>80</v>
      </c>
      <c r="P58" s="5" t="s">
        <v>50</v>
      </c>
      <c r="Q58" s="8">
        <v>46060</v>
      </c>
      <c r="R58" s="5"/>
      <c r="S58" s="5"/>
    </row>
    <row r="59" spans="1:19" x14ac:dyDescent="0.25">
      <c r="A59" s="4" t="s">
        <v>17</v>
      </c>
      <c r="B59" s="35" t="s">
        <v>37</v>
      </c>
      <c r="C59" s="5" t="s">
        <v>38</v>
      </c>
      <c r="D59" s="15" t="s">
        <v>39</v>
      </c>
      <c r="E59" s="5">
        <v>500</v>
      </c>
      <c r="F59" s="5">
        <f>G36+M59</f>
        <v>1269</v>
      </c>
      <c r="G59" s="5">
        <f t="shared" si="8"/>
        <v>769</v>
      </c>
      <c r="H59" s="141"/>
      <c r="I59" s="20">
        <v>45989</v>
      </c>
      <c r="J59" s="5" t="s">
        <v>56</v>
      </c>
      <c r="K59" s="45">
        <v>46036</v>
      </c>
      <c r="L59" s="5" t="s">
        <v>51</v>
      </c>
      <c r="M59" s="5">
        <v>1030</v>
      </c>
      <c r="N59" s="42" t="s">
        <v>49</v>
      </c>
      <c r="O59" s="5" t="s">
        <v>80</v>
      </c>
      <c r="P59" s="5" t="s">
        <v>50</v>
      </c>
      <c r="Q59" s="8">
        <v>46060</v>
      </c>
      <c r="R59" s="25">
        <v>46067</v>
      </c>
      <c r="S59" s="8"/>
    </row>
    <row r="60" spans="1:19" x14ac:dyDescent="0.25">
      <c r="A60" s="4" t="s">
        <v>30</v>
      </c>
      <c r="B60" s="35" t="s">
        <v>75</v>
      </c>
      <c r="C60" s="5"/>
      <c r="D60" s="14"/>
      <c r="E60" s="5">
        <f>E18</f>
        <v>11.5</v>
      </c>
      <c r="F60" s="5">
        <f>G37</f>
        <v>127.5</v>
      </c>
      <c r="G60" s="5">
        <f t="shared" si="8"/>
        <v>116</v>
      </c>
      <c r="H60" s="141"/>
      <c r="I60" s="127" t="s">
        <v>60</v>
      </c>
      <c r="J60" s="128"/>
      <c r="K60" s="128"/>
      <c r="L60" s="128"/>
      <c r="M60" s="128"/>
      <c r="N60" s="128"/>
      <c r="O60" s="128"/>
      <c r="P60" s="128"/>
      <c r="Q60" s="129"/>
      <c r="R60" s="5"/>
      <c r="S60" s="5"/>
    </row>
    <row r="61" spans="1:19" x14ac:dyDescent="0.25">
      <c r="A61" s="4" t="s">
        <v>61</v>
      </c>
      <c r="B61" s="35" t="s">
        <v>62</v>
      </c>
      <c r="C61" s="104"/>
      <c r="D61" s="14"/>
      <c r="E61" s="5">
        <v>500</v>
      </c>
      <c r="F61" s="5">
        <f>G38</f>
        <v>4000</v>
      </c>
      <c r="G61" s="5">
        <f t="shared" si="8"/>
        <v>3500</v>
      </c>
      <c r="H61" s="141"/>
      <c r="I61" s="127" t="s">
        <v>60</v>
      </c>
      <c r="J61" s="128"/>
      <c r="K61" s="128"/>
      <c r="L61" s="128"/>
      <c r="M61" s="128"/>
      <c r="N61" s="128"/>
      <c r="O61" s="128"/>
      <c r="P61" s="128"/>
      <c r="Q61" s="129"/>
      <c r="R61" s="5"/>
      <c r="S61" s="5"/>
    </row>
    <row r="62" spans="1:19" x14ac:dyDescent="0.25">
      <c r="A62" s="4" t="s">
        <v>108</v>
      </c>
      <c r="B62" s="37" t="s">
        <v>111</v>
      </c>
      <c r="C62" s="101"/>
      <c r="D62" s="14"/>
      <c r="E62" s="5">
        <v>1000</v>
      </c>
      <c r="F62" s="5">
        <f>G20</f>
        <v>7080</v>
      </c>
      <c r="G62" s="5">
        <f t="shared" si="8"/>
        <v>6080</v>
      </c>
      <c r="H62" s="141"/>
      <c r="I62" s="18">
        <v>46034</v>
      </c>
      <c r="J62" s="5" t="s">
        <v>57</v>
      </c>
      <c r="K62" s="45">
        <v>46058</v>
      </c>
      <c r="L62" s="5" t="s">
        <v>107</v>
      </c>
      <c r="M62" s="5">
        <v>8000</v>
      </c>
      <c r="N62" s="5"/>
      <c r="O62" s="5"/>
      <c r="P62" s="5" t="s">
        <v>54</v>
      </c>
      <c r="Q62" s="5"/>
      <c r="R62" s="5"/>
      <c r="S62" s="5"/>
    </row>
    <row r="63" spans="1:19" x14ac:dyDescent="0.25">
      <c r="A63" s="4" t="s">
        <v>65</v>
      </c>
      <c r="B63" s="35" t="s">
        <v>66</v>
      </c>
      <c r="C63" s="5"/>
      <c r="D63" s="14"/>
      <c r="E63" s="5">
        <f>E21</f>
        <v>5.52</v>
      </c>
      <c r="F63" s="5">
        <f>G21</f>
        <v>296.48</v>
      </c>
      <c r="G63" s="5">
        <f t="shared" si="8"/>
        <v>290.96000000000004</v>
      </c>
      <c r="H63" s="141"/>
      <c r="I63" s="18">
        <v>45999</v>
      </c>
      <c r="J63" s="5" t="s">
        <v>71</v>
      </c>
      <c r="K63" s="30"/>
      <c r="L63" s="5" t="s">
        <v>69</v>
      </c>
      <c r="M63" s="5">
        <v>3000</v>
      </c>
      <c r="N63" s="5" t="s">
        <v>75</v>
      </c>
      <c r="O63" s="5" t="s">
        <v>75</v>
      </c>
      <c r="P63" s="5" t="s">
        <v>54</v>
      </c>
      <c r="Q63" s="5"/>
      <c r="R63" s="5"/>
      <c r="S63" s="5"/>
    </row>
    <row r="64" spans="1:19" x14ac:dyDescent="0.25">
      <c r="A64" s="4" t="s">
        <v>72</v>
      </c>
      <c r="B64" s="35" t="s">
        <v>43</v>
      </c>
      <c r="C64" s="5"/>
      <c r="D64" s="14"/>
      <c r="E64" s="5">
        <f>E22</f>
        <v>16</v>
      </c>
      <c r="F64" s="5">
        <v>16</v>
      </c>
      <c r="G64" s="5">
        <f t="shared" si="8"/>
        <v>0</v>
      </c>
      <c r="H64" s="141"/>
      <c r="I64" s="18">
        <v>46045</v>
      </c>
      <c r="J64" s="5" t="s">
        <v>70</v>
      </c>
      <c r="K64" s="45">
        <v>46045</v>
      </c>
      <c r="L64" s="5" t="s">
        <v>64</v>
      </c>
      <c r="M64" s="5"/>
      <c r="N64" s="5" t="s">
        <v>75</v>
      </c>
      <c r="O64" s="5" t="s">
        <v>75</v>
      </c>
      <c r="P64" s="5"/>
      <c r="Q64" s="5"/>
      <c r="R64" s="5"/>
      <c r="S64" s="5"/>
    </row>
    <row r="65" spans="1:19" x14ac:dyDescent="0.25">
      <c r="A65" s="4"/>
      <c r="H65" s="19"/>
      <c r="I65" s="39"/>
      <c r="K65" s="40"/>
    </row>
    <row r="66" spans="1:19" x14ac:dyDescent="0.25">
      <c r="A66" s="1" t="s">
        <v>19</v>
      </c>
      <c r="C66" s="2" t="s">
        <v>132</v>
      </c>
    </row>
    <row r="67" spans="1:19" s="11" customFormat="1" ht="30" x14ac:dyDescent="0.25">
      <c r="A67" s="9" t="s">
        <v>42</v>
      </c>
      <c r="B67" s="34" t="s">
        <v>2</v>
      </c>
      <c r="C67" s="9" t="s">
        <v>13</v>
      </c>
      <c r="D67" s="13" t="s">
        <v>14</v>
      </c>
      <c r="E67" s="9" t="s">
        <v>4</v>
      </c>
      <c r="F67" s="10" t="s">
        <v>94</v>
      </c>
      <c r="G67" s="10" t="s">
        <v>103</v>
      </c>
      <c r="H67" s="9" t="s">
        <v>34</v>
      </c>
      <c r="I67" s="9" t="s">
        <v>11</v>
      </c>
      <c r="J67" s="10" t="s">
        <v>58</v>
      </c>
      <c r="K67" s="10" t="s">
        <v>177</v>
      </c>
      <c r="L67" s="9" t="s">
        <v>8</v>
      </c>
      <c r="M67" s="9" t="s">
        <v>7</v>
      </c>
      <c r="N67" s="9" t="s">
        <v>31</v>
      </c>
      <c r="O67" s="9" t="s">
        <v>32</v>
      </c>
      <c r="P67" s="9" t="s">
        <v>29</v>
      </c>
      <c r="Q67" s="9" t="s">
        <v>33</v>
      </c>
      <c r="R67" s="9" t="s">
        <v>26</v>
      </c>
      <c r="S67" s="9" t="s">
        <v>27</v>
      </c>
    </row>
    <row r="68" spans="1:19" x14ac:dyDescent="0.25">
      <c r="A68" s="4" t="s">
        <v>0</v>
      </c>
      <c r="B68" s="35" t="s">
        <v>45</v>
      </c>
      <c r="C68" s="5"/>
      <c r="D68" s="14"/>
      <c r="E68" s="5">
        <v>15000</v>
      </c>
      <c r="F68" s="5">
        <f>G26</f>
        <v>95076</v>
      </c>
      <c r="G68" s="5">
        <f>F68-E68</f>
        <v>80076</v>
      </c>
      <c r="H68" s="141">
        <v>45902</v>
      </c>
      <c r="I68" s="127" t="s">
        <v>60</v>
      </c>
      <c r="J68" s="128"/>
      <c r="K68" s="128"/>
      <c r="L68" s="128"/>
      <c r="M68" s="128"/>
      <c r="N68" s="128"/>
      <c r="O68" s="128"/>
      <c r="P68" s="128"/>
      <c r="Q68" s="129"/>
      <c r="R68" s="5"/>
      <c r="S68" s="5"/>
    </row>
    <row r="69" spans="1:19" x14ac:dyDescent="0.25">
      <c r="A69" s="4" t="s">
        <v>131</v>
      </c>
      <c r="B69" s="35" t="s">
        <v>45</v>
      </c>
      <c r="C69" s="43"/>
      <c r="D69" s="44"/>
      <c r="E69" s="5">
        <f>2.05*1000</f>
        <v>2050</v>
      </c>
      <c r="F69" s="5">
        <f>G47</f>
        <v>16684</v>
      </c>
      <c r="G69" s="5">
        <f>F69-E69</f>
        <v>14634</v>
      </c>
      <c r="H69" s="141"/>
      <c r="I69" s="127" t="s">
        <v>60</v>
      </c>
      <c r="J69" s="128"/>
      <c r="K69" s="128"/>
      <c r="L69" s="128"/>
      <c r="M69" s="128"/>
      <c r="N69" s="128"/>
      <c r="O69" s="128"/>
      <c r="P69" s="128"/>
      <c r="Q69" s="129"/>
      <c r="R69" s="5"/>
      <c r="S69" s="5"/>
    </row>
    <row r="70" spans="1:19" x14ac:dyDescent="0.25">
      <c r="A70" s="4" t="s">
        <v>129</v>
      </c>
      <c r="B70" s="35" t="s">
        <v>45</v>
      </c>
      <c r="C70" s="43"/>
      <c r="D70" s="44"/>
      <c r="E70" s="5">
        <f>2.05*1000</f>
        <v>2050</v>
      </c>
      <c r="F70" s="5">
        <f t="shared" ref="F70:F71" si="9">G48</f>
        <v>12704</v>
      </c>
      <c r="G70" s="5">
        <f t="shared" ref="G70:G71" si="10">F70-E70</f>
        <v>10654</v>
      </c>
      <c r="H70" s="141"/>
      <c r="I70" s="127" t="s">
        <v>60</v>
      </c>
      <c r="J70" s="128"/>
      <c r="K70" s="128"/>
      <c r="L70" s="128"/>
      <c r="M70" s="128"/>
      <c r="N70" s="128"/>
      <c r="O70" s="128"/>
      <c r="P70" s="128"/>
      <c r="Q70" s="129"/>
      <c r="R70" s="5"/>
      <c r="S70" s="5"/>
    </row>
    <row r="71" spans="1:19" x14ac:dyDescent="0.25">
      <c r="A71" s="4" t="s">
        <v>130</v>
      </c>
      <c r="B71" s="35" t="s">
        <v>45</v>
      </c>
      <c r="C71" s="43"/>
      <c r="D71" s="44"/>
      <c r="E71" s="5">
        <v>1000</v>
      </c>
      <c r="F71" s="5">
        <f t="shared" si="9"/>
        <v>7848</v>
      </c>
      <c r="G71" s="5">
        <f t="shared" si="10"/>
        <v>6848</v>
      </c>
      <c r="H71" s="141"/>
      <c r="I71" s="127" t="s">
        <v>60</v>
      </c>
      <c r="J71" s="128"/>
      <c r="K71" s="128"/>
      <c r="L71" s="128"/>
      <c r="M71" s="128"/>
      <c r="N71" s="128"/>
      <c r="O71" s="128"/>
      <c r="P71" s="128"/>
      <c r="Q71" s="129"/>
      <c r="R71" s="5"/>
      <c r="S71" s="5"/>
    </row>
    <row r="72" spans="1:19" x14ac:dyDescent="0.25">
      <c r="A72" s="4" t="s">
        <v>105</v>
      </c>
      <c r="B72" s="98" t="s">
        <v>35</v>
      </c>
      <c r="C72" s="100" t="s">
        <v>12</v>
      </c>
      <c r="D72" s="102" t="s">
        <v>15</v>
      </c>
      <c r="E72" s="5">
        <v>1000</v>
      </c>
      <c r="F72" s="5">
        <f>G30</f>
        <v>1560</v>
      </c>
      <c r="G72" s="5">
        <f t="shared" ref="G72:G86" si="11">F72-E72</f>
        <v>560</v>
      </c>
      <c r="H72" s="141"/>
      <c r="I72" s="119">
        <v>46055</v>
      </c>
      <c r="J72" s="100" t="s">
        <v>56</v>
      </c>
      <c r="K72" s="115">
        <v>46056</v>
      </c>
      <c r="L72" s="100" t="s">
        <v>53</v>
      </c>
      <c r="M72" s="5">
        <v>2100</v>
      </c>
      <c r="N72" s="143" t="s">
        <v>49</v>
      </c>
      <c r="O72" s="106" t="s">
        <v>81</v>
      </c>
      <c r="P72" s="106" t="s">
        <v>87</v>
      </c>
      <c r="Q72" s="111">
        <v>46071</v>
      </c>
      <c r="R72" s="5"/>
      <c r="S72" s="8"/>
    </row>
    <row r="73" spans="1:19" x14ac:dyDescent="0.25">
      <c r="A73" s="4" t="s">
        <v>59</v>
      </c>
      <c r="B73" s="99"/>
      <c r="C73" s="101"/>
      <c r="D73" s="103"/>
      <c r="E73" s="5">
        <v>118</v>
      </c>
      <c r="F73" s="5">
        <f>G52</f>
        <v>432.52</v>
      </c>
      <c r="G73" s="5">
        <f t="shared" si="11"/>
        <v>314.52</v>
      </c>
      <c r="H73" s="141"/>
      <c r="I73" s="140"/>
      <c r="J73" s="101"/>
      <c r="K73" s="116"/>
      <c r="L73" s="101"/>
      <c r="M73" s="5">
        <v>392</v>
      </c>
      <c r="N73" s="145"/>
      <c r="O73" s="107"/>
      <c r="P73" s="107"/>
      <c r="Q73" s="112"/>
      <c r="R73" s="5"/>
      <c r="S73" s="5"/>
    </row>
    <row r="74" spans="1:19" x14ac:dyDescent="0.25">
      <c r="A74" s="4" t="s">
        <v>47</v>
      </c>
      <c r="B74" s="98" t="s">
        <v>36</v>
      </c>
      <c r="C74" s="100" t="s">
        <v>41</v>
      </c>
      <c r="D74" s="146" t="s">
        <v>40</v>
      </c>
      <c r="E74" s="5"/>
      <c r="F74" s="5">
        <f>G53</f>
        <v>78.300000000000011</v>
      </c>
      <c r="G74" s="5">
        <f>F74-E74</f>
        <v>78.300000000000011</v>
      </c>
      <c r="H74" s="141"/>
      <c r="I74" s="119">
        <v>46051</v>
      </c>
      <c r="J74" s="100" t="s">
        <v>56</v>
      </c>
      <c r="K74" s="115">
        <v>46056</v>
      </c>
      <c r="L74" s="100" t="s">
        <v>52</v>
      </c>
      <c r="M74" s="5">
        <v>2850</v>
      </c>
      <c r="N74" s="100" t="s">
        <v>89</v>
      </c>
      <c r="O74" s="106" t="s">
        <v>91</v>
      </c>
      <c r="P74" s="5" t="s">
        <v>54</v>
      </c>
      <c r="Q74" s="111">
        <v>46091</v>
      </c>
      <c r="R74" s="8">
        <v>46091</v>
      </c>
      <c r="S74" s="8" t="s">
        <v>180</v>
      </c>
    </row>
    <row r="75" spans="1:19" x14ac:dyDescent="0.25">
      <c r="A75" s="4" t="s">
        <v>48</v>
      </c>
      <c r="B75" s="99"/>
      <c r="C75" s="101"/>
      <c r="D75" s="147"/>
      <c r="E75" s="5"/>
      <c r="F75" s="5">
        <f>G54</f>
        <v>41.699999999999932</v>
      </c>
      <c r="G75" s="5">
        <f t="shared" si="11"/>
        <v>41.699999999999932</v>
      </c>
      <c r="H75" s="141"/>
      <c r="I75" s="101"/>
      <c r="J75" s="101"/>
      <c r="K75" s="116"/>
      <c r="L75" s="101"/>
      <c r="M75" s="6">
        <v>3750</v>
      </c>
      <c r="N75" s="101"/>
      <c r="O75" s="107"/>
      <c r="P75" s="5" t="s">
        <v>54</v>
      </c>
      <c r="Q75" s="112"/>
      <c r="R75" s="5"/>
      <c r="S75" s="5" t="s">
        <v>181</v>
      </c>
    </row>
    <row r="76" spans="1:19" x14ac:dyDescent="0.25">
      <c r="A76" s="151" t="s">
        <v>106</v>
      </c>
      <c r="B76" s="98" t="s">
        <v>93</v>
      </c>
      <c r="C76" s="100" t="s">
        <v>88</v>
      </c>
      <c r="D76" s="102"/>
      <c r="E76" s="100">
        <v>1757.5</v>
      </c>
      <c r="F76" s="100">
        <f>G99</f>
        <v>1222.8000000000002</v>
      </c>
      <c r="G76" s="100">
        <f>F76-E76</f>
        <v>-534.69999999999982</v>
      </c>
      <c r="H76" s="141"/>
      <c r="I76" s="113">
        <v>46062</v>
      </c>
      <c r="J76" s="100" t="s">
        <v>56</v>
      </c>
      <c r="K76" s="115">
        <v>46064</v>
      </c>
      <c r="L76" s="117" t="s">
        <v>90</v>
      </c>
      <c r="M76" s="5">
        <v>2700</v>
      </c>
      <c r="N76" s="21" t="s">
        <v>49</v>
      </c>
      <c r="O76" s="106" t="s">
        <v>81</v>
      </c>
      <c r="P76" s="5" t="s">
        <v>54</v>
      </c>
      <c r="Q76" s="24">
        <v>46086</v>
      </c>
      <c r="R76" s="5"/>
      <c r="S76" s="5" t="s">
        <v>182</v>
      </c>
    </row>
    <row r="77" spans="1:19" x14ac:dyDescent="0.25">
      <c r="A77" s="152"/>
      <c r="B77" s="99"/>
      <c r="C77" s="101"/>
      <c r="D77" s="103"/>
      <c r="E77" s="101"/>
      <c r="F77" s="101"/>
      <c r="G77" s="101"/>
      <c r="H77" s="141"/>
      <c r="I77" s="114"/>
      <c r="J77" s="101"/>
      <c r="K77" s="116"/>
      <c r="L77" s="118"/>
      <c r="M77" s="6">
        <f>6300-M76</f>
        <v>3600</v>
      </c>
      <c r="N77" s="21" t="s">
        <v>89</v>
      </c>
      <c r="O77" s="107"/>
      <c r="P77" s="5" t="s">
        <v>54</v>
      </c>
      <c r="Q77" s="23">
        <v>46106</v>
      </c>
      <c r="R77" s="5"/>
      <c r="S77" s="5"/>
    </row>
    <row r="78" spans="1:19" x14ac:dyDescent="0.25">
      <c r="A78" s="4" t="s">
        <v>3</v>
      </c>
      <c r="B78" s="35" t="s">
        <v>68</v>
      </c>
      <c r="C78" s="5"/>
      <c r="D78" s="15"/>
      <c r="E78" s="5">
        <v>0.74</v>
      </c>
      <c r="F78" s="5">
        <f>G57</f>
        <v>27.220000000000006</v>
      </c>
      <c r="G78" s="5">
        <f t="shared" si="11"/>
        <v>26.480000000000008</v>
      </c>
      <c r="H78" s="141"/>
      <c r="I78" s="127" t="s">
        <v>60</v>
      </c>
      <c r="J78" s="128"/>
      <c r="K78" s="128"/>
      <c r="L78" s="128"/>
      <c r="M78" s="128"/>
      <c r="N78" s="128"/>
      <c r="O78" s="128"/>
      <c r="P78" s="128"/>
      <c r="Q78" s="129"/>
      <c r="R78" s="5"/>
      <c r="S78" s="5"/>
    </row>
    <row r="79" spans="1:19" x14ac:dyDescent="0.25">
      <c r="A79" s="4" t="s">
        <v>67</v>
      </c>
      <c r="B79" s="35" t="s">
        <v>5</v>
      </c>
      <c r="C79" s="5" t="s">
        <v>16</v>
      </c>
      <c r="D79" s="15" t="s">
        <v>6</v>
      </c>
      <c r="E79" s="5">
        <v>5.0599999999999996</v>
      </c>
      <c r="F79" s="5">
        <f>G58+M79</f>
        <v>78.239999999999995</v>
      </c>
      <c r="G79" s="5">
        <f t="shared" si="11"/>
        <v>73.179999999999993</v>
      </c>
      <c r="H79" s="141"/>
      <c r="I79" s="5"/>
      <c r="J79" s="5" t="s">
        <v>56</v>
      </c>
      <c r="K79" s="45">
        <v>46041</v>
      </c>
      <c r="L79" s="5" t="s">
        <v>79</v>
      </c>
      <c r="M79" s="5">
        <v>50</v>
      </c>
      <c r="N79" s="42" t="s">
        <v>49</v>
      </c>
      <c r="O79" s="5" t="s">
        <v>80</v>
      </c>
      <c r="P79" s="5" t="s">
        <v>50</v>
      </c>
      <c r="Q79" s="8">
        <v>46060</v>
      </c>
      <c r="R79" s="5"/>
      <c r="S79" s="5"/>
    </row>
    <row r="80" spans="1:19" x14ac:dyDescent="0.25">
      <c r="A80" s="4" t="s">
        <v>17</v>
      </c>
      <c r="B80" s="35" t="s">
        <v>37</v>
      </c>
      <c r="C80" s="5" t="s">
        <v>38</v>
      </c>
      <c r="D80" s="15" t="s">
        <v>39</v>
      </c>
      <c r="E80" s="5">
        <v>1025</v>
      </c>
      <c r="F80" s="5">
        <f>G59</f>
        <v>769</v>
      </c>
      <c r="G80" s="5">
        <f t="shared" si="11"/>
        <v>-256</v>
      </c>
      <c r="H80" s="141"/>
      <c r="I80" s="8">
        <v>46055</v>
      </c>
      <c r="J80" s="5" t="s">
        <v>56</v>
      </c>
      <c r="K80" s="45">
        <v>46087</v>
      </c>
      <c r="L80" s="5" t="s">
        <v>83</v>
      </c>
      <c r="M80" s="5">
        <v>3240</v>
      </c>
      <c r="N80" s="21" t="s">
        <v>178</v>
      </c>
      <c r="O80" s="5" t="s">
        <v>81</v>
      </c>
      <c r="P80" s="5" t="s">
        <v>82</v>
      </c>
      <c r="Q80" s="52">
        <v>46094</v>
      </c>
      <c r="R80" s="5"/>
      <c r="S80" s="5"/>
    </row>
    <row r="81" spans="1:19" x14ac:dyDescent="0.25">
      <c r="A81" s="4" t="s">
        <v>30</v>
      </c>
      <c r="B81" s="35" t="s">
        <v>75</v>
      </c>
      <c r="C81" s="5"/>
      <c r="D81" s="14"/>
      <c r="E81" s="5">
        <v>25</v>
      </c>
      <c r="F81" s="5">
        <f>G60</f>
        <v>116</v>
      </c>
      <c r="G81" s="5">
        <f t="shared" si="11"/>
        <v>91</v>
      </c>
      <c r="H81" s="141"/>
      <c r="I81" s="127" t="s">
        <v>60</v>
      </c>
      <c r="J81" s="128"/>
      <c r="K81" s="128"/>
      <c r="L81" s="128"/>
      <c r="M81" s="128"/>
      <c r="N81" s="128"/>
      <c r="O81" s="128"/>
      <c r="P81" s="128"/>
      <c r="Q81" s="129"/>
      <c r="R81" s="5"/>
      <c r="S81" s="5"/>
    </row>
    <row r="82" spans="1:19" x14ac:dyDescent="0.25">
      <c r="A82" s="4" t="s">
        <v>61</v>
      </c>
      <c r="B82" s="35" t="s">
        <v>62</v>
      </c>
      <c r="C82" s="5"/>
      <c r="D82" s="14"/>
      <c r="E82" s="5">
        <v>1000</v>
      </c>
      <c r="F82" s="5">
        <f>G61</f>
        <v>3500</v>
      </c>
      <c r="G82" s="5">
        <f t="shared" si="11"/>
        <v>2500</v>
      </c>
      <c r="H82" s="141"/>
      <c r="I82" s="127" t="s">
        <v>60</v>
      </c>
      <c r="J82" s="128"/>
      <c r="K82" s="128"/>
      <c r="L82" s="128"/>
      <c r="M82" s="128"/>
      <c r="N82" s="128"/>
      <c r="O82" s="128"/>
      <c r="P82" s="128"/>
      <c r="Q82" s="129"/>
      <c r="R82" s="5"/>
      <c r="S82" s="5"/>
    </row>
    <row r="83" spans="1:19" x14ac:dyDescent="0.25">
      <c r="A83" s="4" t="s">
        <v>110</v>
      </c>
      <c r="B83" s="98" t="s">
        <v>44</v>
      </c>
      <c r="C83" s="100" t="s">
        <v>63</v>
      </c>
      <c r="D83" s="14"/>
      <c r="E83" s="5">
        <v>1000</v>
      </c>
      <c r="F83" s="5">
        <f>G39</f>
        <v>1280</v>
      </c>
      <c r="G83" s="5">
        <f t="shared" si="11"/>
        <v>280</v>
      </c>
      <c r="H83" s="141"/>
      <c r="I83" s="119">
        <v>46034</v>
      </c>
      <c r="J83" s="100" t="s">
        <v>57</v>
      </c>
      <c r="K83" s="115">
        <v>46058</v>
      </c>
      <c r="L83" s="5" t="s">
        <v>107</v>
      </c>
      <c r="M83" s="5">
        <v>5250</v>
      </c>
      <c r="N83" s="5" t="s">
        <v>112</v>
      </c>
      <c r="O83" s="5"/>
      <c r="P83" s="5" t="s">
        <v>54</v>
      </c>
      <c r="Q83" s="5"/>
      <c r="R83" s="5"/>
      <c r="S83" s="5"/>
    </row>
    <row r="84" spans="1:19" x14ac:dyDescent="0.25">
      <c r="A84" s="4" t="s">
        <v>109</v>
      </c>
      <c r="B84" s="99"/>
      <c r="C84" s="101"/>
      <c r="D84" s="14"/>
      <c r="E84" s="5">
        <v>1000</v>
      </c>
      <c r="F84" s="5">
        <f>G40</f>
        <v>1280</v>
      </c>
      <c r="G84" s="5">
        <f t="shared" si="11"/>
        <v>280</v>
      </c>
      <c r="H84" s="141"/>
      <c r="I84" s="101"/>
      <c r="J84" s="101"/>
      <c r="K84" s="116"/>
      <c r="L84" s="5" t="s">
        <v>107</v>
      </c>
      <c r="M84" s="5">
        <v>5250</v>
      </c>
      <c r="N84" s="5" t="s">
        <v>112</v>
      </c>
      <c r="O84" s="5"/>
      <c r="P84" s="5" t="s">
        <v>54</v>
      </c>
      <c r="Q84" s="5"/>
      <c r="R84" s="5"/>
      <c r="S84" s="5"/>
    </row>
    <row r="85" spans="1:19" x14ac:dyDescent="0.25">
      <c r="A85" s="4" t="s">
        <v>65</v>
      </c>
      <c r="B85" s="35" t="s">
        <v>66</v>
      </c>
      <c r="C85" s="5"/>
      <c r="D85" s="14"/>
      <c r="E85" s="5">
        <v>95</v>
      </c>
      <c r="F85" s="5">
        <f>G63</f>
        <v>290.96000000000004</v>
      </c>
      <c r="G85" s="5">
        <f t="shared" si="11"/>
        <v>195.96000000000004</v>
      </c>
      <c r="H85" s="141"/>
      <c r="I85" s="18">
        <v>45999</v>
      </c>
      <c r="J85" s="5" t="s">
        <v>71</v>
      </c>
      <c r="K85" s="30"/>
      <c r="L85" s="5" t="s">
        <v>69</v>
      </c>
      <c r="M85" s="5">
        <v>3000</v>
      </c>
      <c r="N85" s="5" t="s">
        <v>75</v>
      </c>
      <c r="O85" s="5" t="s">
        <v>75</v>
      </c>
      <c r="P85" s="5" t="s">
        <v>54</v>
      </c>
      <c r="Q85" s="5"/>
      <c r="R85" s="5"/>
      <c r="S85" s="5"/>
    </row>
    <row r="86" spans="1:19" x14ac:dyDescent="0.25">
      <c r="A86" s="4" t="s">
        <v>72</v>
      </c>
      <c r="B86" s="35" t="s">
        <v>43</v>
      </c>
      <c r="C86" s="5"/>
      <c r="D86" s="14"/>
      <c r="E86" s="5">
        <v>34</v>
      </c>
      <c r="F86" s="5">
        <v>0</v>
      </c>
      <c r="G86" s="5">
        <f t="shared" si="11"/>
        <v>-34</v>
      </c>
      <c r="H86" s="141"/>
      <c r="I86" s="18">
        <v>46045</v>
      </c>
      <c r="J86" s="5" t="s">
        <v>70</v>
      </c>
      <c r="K86" s="45">
        <v>46045</v>
      </c>
      <c r="L86" s="5" t="s">
        <v>64</v>
      </c>
      <c r="M86" s="5">
        <v>68</v>
      </c>
      <c r="N86" s="5" t="s">
        <v>75</v>
      </c>
      <c r="O86" s="5" t="s">
        <v>75</v>
      </c>
      <c r="P86" s="5" t="s">
        <v>82</v>
      </c>
      <c r="Q86" s="26" t="s">
        <v>188</v>
      </c>
      <c r="R86" s="5"/>
      <c r="S86" s="5"/>
    </row>
    <row r="88" spans="1:19" x14ac:dyDescent="0.25">
      <c r="A88" s="1" t="s">
        <v>117</v>
      </c>
      <c r="B88" s="33" t="s">
        <v>78</v>
      </c>
      <c r="C88" s="2" t="s">
        <v>133</v>
      </c>
    </row>
    <row r="89" spans="1:19" s="11" customFormat="1" ht="30" x14ac:dyDescent="0.25">
      <c r="A89" s="9" t="s">
        <v>42</v>
      </c>
      <c r="B89" s="34" t="s">
        <v>2</v>
      </c>
      <c r="C89" s="9" t="s">
        <v>13</v>
      </c>
      <c r="D89" s="13" t="s">
        <v>14</v>
      </c>
      <c r="E89" s="9" t="s">
        <v>4</v>
      </c>
      <c r="F89" s="10" t="s">
        <v>94</v>
      </c>
      <c r="G89" s="10" t="s">
        <v>103</v>
      </c>
      <c r="H89" s="9" t="s">
        <v>34</v>
      </c>
      <c r="I89" s="9" t="s">
        <v>11</v>
      </c>
      <c r="J89" s="10" t="s">
        <v>58</v>
      </c>
      <c r="K89" s="10" t="s">
        <v>177</v>
      </c>
      <c r="L89" s="9" t="s">
        <v>8</v>
      </c>
      <c r="M89" s="9" t="s">
        <v>7</v>
      </c>
      <c r="N89" s="9" t="s">
        <v>31</v>
      </c>
      <c r="O89" s="9" t="s">
        <v>32</v>
      </c>
      <c r="P89" s="9" t="s">
        <v>29</v>
      </c>
      <c r="Q89" s="9" t="s">
        <v>33</v>
      </c>
      <c r="R89" s="9" t="s">
        <v>26</v>
      </c>
      <c r="S89" s="9" t="s">
        <v>27</v>
      </c>
    </row>
    <row r="90" spans="1:19" x14ac:dyDescent="0.25">
      <c r="A90" s="4" t="s">
        <v>0</v>
      </c>
      <c r="B90" s="35" t="s">
        <v>45</v>
      </c>
      <c r="C90" s="5"/>
      <c r="D90" s="14"/>
      <c r="E90" s="5">
        <f>21334-E46</f>
        <v>15499</v>
      </c>
      <c r="F90" s="5">
        <f>G68</f>
        <v>80076</v>
      </c>
      <c r="G90" s="5">
        <f>F90-E90</f>
        <v>64577</v>
      </c>
      <c r="H90" s="141">
        <v>45932</v>
      </c>
      <c r="I90" s="108" t="s">
        <v>60</v>
      </c>
      <c r="J90" s="109"/>
      <c r="K90" s="109"/>
      <c r="L90" s="109"/>
      <c r="M90" s="109"/>
      <c r="N90" s="109"/>
      <c r="O90" s="109"/>
      <c r="P90" s="109"/>
      <c r="Q90" s="110"/>
      <c r="R90" s="5"/>
      <c r="S90" s="5"/>
    </row>
    <row r="91" spans="1:19" x14ac:dyDescent="0.25">
      <c r="A91" s="4" t="s">
        <v>131</v>
      </c>
      <c r="B91" s="35" t="s">
        <v>45</v>
      </c>
      <c r="C91" s="43"/>
      <c r="D91" s="44"/>
      <c r="E91" s="5">
        <f>2.05*1500</f>
        <v>3074.9999999999995</v>
      </c>
      <c r="F91" s="5">
        <f>G69</f>
        <v>14634</v>
      </c>
      <c r="G91" s="5">
        <f>F91-E91</f>
        <v>11559</v>
      </c>
      <c r="H91" s="141"/>
      <c r="I91" s="108" t="s">
        <v>60</v>
      </c>
      <c r="J91" s="109"/>
      <c r="K91" s="109"/>
      <c r="L91" s="109"/>
      <c r="M91" s="109"/>
      <c r="N91" s="109"/>
      <c r="O91" s="109"/>
      <c r="P91" s="109"/>
      <c r="Q91" s="110"/>
      <c r="R91" s="5"/>
      <c r="S91" s="5"/>
    </row>
    <row r="92" spans="1:19" x14ac:dyDescent="0.25">
      <c r="A92" s="4" t="s">
        <v>129</v>
      </c>
      <c r="B92" s="35" t="s">
        <v>45</v>
      </c>
      <c r="C92" s="43"/>
      <c r="D92" s="44"/>
      <c r="E92" s="5">
        <f>2.05*1500</f>
        <v>3074.9999999999995</v>
      </c>
      <c r="F92" s="5">
        <f>G70</f>
        <v>10654</v>
      </c>
      <c r="G92" s="5">
        <f t="shared" ref="G92:G93" si="12">F92-E92</f>
        <v>7579</v>
      </c>
      <c r="H92" s="141"/>
      <c r="I92" s="108" t="s">
        <v>60</v>
      </c>
      <c r="J92" s="109"/>
      <c r="K92" s="109"/>
      <c r="L92" s="109"/>
      <c r="M92" s="109"/>
      <c r="N92" s="109"/>
      <c r="O92" s="109"/>
      <c r="P92" s="109"/>
      <c r="Q92" s="110"/>
      <c r="R92" s="5"/>
      <c r="S92" s="5"/>
    </row>
    <row r="93" spans="1:19" x14ac:dyDescent="0.25">
      <c r="A93" s="4" t="s">
        <v>130</v>
      </c>
      <c r="B93" s="35" t="s">
        <v>45</v>
      </c>
      <c r="C93" s="43"/>
      <c r="D93" s="44"/>
      <c r="E93" s="5">
        <v>1500</v>
      </c>
      <c r="F93" s="5">
        <f>G71</f>
        <v>6848</v>
      </c>
      <c r="G93" s="5">
        <f t="shared" si="12"/>
        <v>5348</v>
      </c>
      <c r="H93" s="141"/>
      <c r="I93" s="108" t="s">
        <v>60</v>
      </c>
      <c r="J93" s="109"/>
      <c r="K93" s="109"/>
      <c r="L93" s="109"/>
      <c r="M93" s="109"/>
      <c r="N93" s="109"/>
      <c r="O93" s="109"/>
      <c r="P93" s="109"/>
      <c r="Q93" s="110"/>
      <c r="R93" s="5"/>
      <c r="S93" s="5"/>
    </row>
    <row r="94" spans="1:19" ht="15" customHeight="1" x14ac:dyDescent="0.25">
      <c r="A94" s="4" t="s">
        <v>104</v>
      </c>
      <c r="B94" s="98" t="s">
        <v>35</v>
      </c>
      <c r="C94" s="100" t="s">
        <v>12</v>
      </c>
      <c r="D94" s="102" t="s">
        <v>15</v>
      </c>
      <c r="E94" s="5">
        <f>2000-E50</f>
        <v>1500</v>
      </c>
      <c r="F94" s="5">
        <f>G50+2100</f>
        <v>2376</v>
      </c>
      <c r="G94" s="5">
        <f t="shared" ref="G94:G109" si="13">F94-E94</f>
        <v>876</v>
      </c>
      <c r="H94" s="141"/>
      <c r="I94" s="119">
        <v>46055</v>
      </c>
      <c r="J94" s="100" t="s">
        <v>121</v>
      </c>
      <c r="K94" s="123">
        <v>46056</v>
      </c>
      <c r="L94" s="100" t="s">
        <v>53</v>
      </c>
      <c r="M94" s="5">
        <v>2100</v>
      </c>
      <c r="N94" s="143" t="s">
        <v>49</v>
      </c>
      <c r="O94" s="106" t="s">
        <v>122</v>
      </c>
      <c r="P94" s="106" t="s">
        <v>50</v>
      </c>
      <c r="Q94" s="111">
        <v>46071</v>
      </c>
      <c r="R94" s="8"/>
      <c r="S94" s="5"/>
    </row>
    <row r="95" spans="1:19" x14ac:dyDescent="0.25">
      <c r="A95" s="4" t="s">
        <v>73</v>
      </c>
      <c r="B95" s="105"/>
      <c r="C95" s="104"/>
      <c r="D95" s="148"/>
      <c r="E95" s="5">
        <f>376-E51</f>
        <v>278.3</v>
      </c>
      <c r="F95" s="5">
        <f>G51+M95</f>
        <v>787.21999999999991</v>
      </c>
      <c r="G95" s="5">
        <f t="shared" si="13"/>
        <v>508.9199999999999</v>
      </c>
      <c r="H95" s="141"/>
      <c r="I95" s="139"/>
      <c r="J95" s="104"/>
      <c r="K95" s="124"/>
      <c r="L95" s="104"/>
      <c r="M95" s="5">
        <v>660</v>
      </c>
      <c r="N95" s="144"/>
      <c r="O95" s="135"/>
      <c r="P95" s="135"/>
      <c r="Q95" s="136"/>
      <c r="R95" s="5"/>
      <c r="S95" s="5"/>
    </row>
    <row r="96" spans="1:19" x14ac:dyDescent="0.25">
      <c r="A96" s="4" t="s">
        <v>59</v>
      </c>
      <c r="B96" s="99"/>
      <c r="C96" s="101"/>
      <c r="D96" s="103"/>
      <c r="E96" s="5">
        <f>76-E52</f>
        <v>56</v>
      </c>
      <c r="F96" s="5">
        <f>G73+M96</f>
        <v>706.52</v>
      </c>
      <c r="G96" s="5">
        <f t="shared" si="13"/>
        <v>650.52</v>
      </c>
      <c r="H96" s="141"/>
      <c r="I96" s="140"/>
      <c r="J96" s="101"/>
      <c r="K96" s="125"/>
      <c r="L96" s="101"/>
      <c r="M96" s="5">
        <v>392</v>
      </c>
      <c r="N96" s="145"/>
      <c r="O96" s="107"/>
      <c r="P96" s="107"/>
      <c r="Q96" s="112"/>
      <c r="R96" s="5"/>
      <c r="S96" s="5"/>
    </row>
    <row r="97" spans="1:21" x14ac:dyDescent="0.25">
      <c r="A97" s="4" t="s">
        <v>47</v>
      </c>
      <c r="B97" s="98" t="s">
        <v>36</v>
      </c>
      <c r="C97" s="100" t="s">
        <v>41</v>
      </c>
      <c r="D97" s="146" t="s">
        <v>40</v>
      </c>
      <c r="E97" s="5">
        <v>0</v>
      </c>
      <c r="F97" s="5">
        <f>G74</f>
        <v>78.300000000000011</v>
      </c>
      <c r="G97" s="5">
        <f t="shared" si="13"/>
        <v>78.300000000000011</v>
      </c>
      <c r="H97" s="141"/>
      <c r="I97" s="119">
        <v>46051</v>
      </c>
      <c r="J97" s="100" t="s">
        <v>56</v>
      </c>
      <c r="K97" s="115">
        <v>46056</v>
      </c>
      <c r="L97" s="100" t="s">
        <v>52</v>
      </c>
      <c r="M97" s="5">
        <v>2850</v>
      </c>
      <c r="N97" s="100" t="s">
        <v>89</v>
      </c>
      <c r="O97" s="106" t="s">
        <v>91</v>
      </c>
      <c r="P97" s="5" t="s">
        <v>54</v>
      </c>
      <c r="Q97" s="111">
        <v>46106</v>
      </c>
      <c r="R97" s="8">
        <v>46087</v>
      </c>
      <c r="S97" s="5" t="s">
        <v>179</v>
      </c>
    </row>
    <row r="98" spans="1:21" x14ac:dyDescent="0.25">
      <c r="A98" s="4" t="s">
        <v>48</v>
      </c>
      <c r="B98" s="99"/>
      <c r="C98" s="101"/>
      <c r="D98" s="147"/>
      <c r="E98" s="5">
        <v>0</v>
      </c>
      <c r="F98" s="5">
        <f>G75</f>
        <v>41.699999999999932</v>
      </c>
      <c r="G98" s="5">
        <f t="shared" si="13"/>
        <v>41.699999999999932</v>
      </c>
      <c r="H98" s="141"/>
      <c r="I98" s="101"/>
      <c r="J98" s="101"/>
      <c r="K98" s="116"/>
      <c r="L98" s="101"/>
      <c r="M98" s="6">
        <v>3750</v>
      </c>
      <c r="N98" s="101"/>
      <c r="O98" s="107"/>
      <c r="P98" s="5" t="s">
        <v>54</v>
      </c>
      <c r="Q98" s="112"/>
      <c r="R98" s="5"/>
      <c r="S98" s="5"/>
    </row>
    <row r="99" spans="1:21" x14ac:dyDescent="0.25">
      <c r="A99" s="151" t="s">
        <v>106</v>
      </c>
      <c r="B99" s="98" t="s">
        <v>93</v>
      </c>
      <c r="C99" s="100" t="s">
        <v>88</v>
      </c>
      <c r="D99" s="102"/>
      <c r="E99" s="100">
        <v>1477.1999999999998</v>
      </c>
      <c r="F99" s="100">
        <v>2700</v>
      </c>
      <c r="G99" s="100">
        <f>F99-E99</f>
        <v>1222.8000000000002</v>
      </c>
      <c r="H99" s="141"/>
      <c r="I99" s="113">
        <v>46062</v>
      </c>
      <c r="J99" s="100" t="s">
        <v>56</v>
      </c>
      <c r="K99" s="115">
        <v>46064</v>
      </c>
      <c r="L99" s="117" t="s">
        <v>90</v>
      </c>
      <c r="M99" s="5">
        <v>2700</v>
      </c>
      <c r="N99" s="21" t="s">
        <v>49</v>
      </c>
      <c r="O99" s="106" t="s">
        <v>81</v>
      </c>
      <c r="P99" s="5" t="s">
        <v>54</v>
      </c>
      <c r="Q99" s="24">
        <v>46086</v>
      </c>
      <c r="R99" s="5"/>
      <c r="S99" s="5" t="s">
        <v>157</v>
      </c>
      <c r="U99">
        <f>320+180+540+540+630+1350</f>
        <v>3560</v>
      </c>
    </row>
    <row r="100" spans="1:21" x14ac:dyDescent="0.25">
      <c r="A100" s="152"/>
      <c r="B100" s="99"/>
      <c r="C100" s="101"/>
      <c r="D100" s="103"/>
      <c r="E100" s="101"/>
      <c r="F100" s="101"/>
      <c r="G100" s="101"/>
      <c r="H100" s="141"/>
      <c r="I100" s="114"/>
      <c r="J100" s="101"/>
      <c r="K100" s="116"/>
      <c r="L100" s="118"/>
      <c r="M100" s="6">
        <f>6300-M99</f>
        <v>3600</v>
      </c>
      <c r="N100" s="21" t="s">
        <v>89</v>
      </c>
      <c r="O100" s="107"/>
      <c r="P100" s="5" t="s">
        <v>54</v>
      </c>
      <c r="Q100" s="24">
        <v>46106</v>
      </c>
      <c r="R100" s="5"/>
      <c r="S100" s="5"/>
    </row>
    <row r="101" spans="1:21" x14ac:dyDescent="0.25">
      <c r="A101" s="4" t="s">
        <v>3</v>
      </c>
      <c r="B101" s="35" t="s">
        <v>68</v>
      </c>
      <c r="C101" s="5"/>
      <c r="D101" s="15"/>
      <c r="E101" s="5">
        <f>3.2-E57</f>
        <v>2.46</v>
      </c>
      <c r="F101" s="5">
        <f>G78</f>
        <v>26.480000000000008</v>
      </c>
      <c r="G101" s="5">
        <f t="shared" si="13"/>
        <v>24.020000000000007</v>
      </c>
      <c r="H101" s="141"/>
      <c r="I101" s="108" t="s">
        <v>60</v>
      </c>
      <c r="J101" s="109"/>
      <c r="K101" s="109"/>
      <c r="L101" s="109"/>
      <c r="M101" s="109"/>
      <c r="N101" s="109"/>
      <c r="O101" s="109"/>
      <c r="P101" s="109"/>
      <c r="Q101" s="110"/>
      <c r="R101" s="5"/>
      <c r="S101" s="5" t="s">
        <v>158</v>
      </c>
    </row>
    <row r="102" spans="1:21" x14ac:dyDescent="0.25">
      <c r="A102" s="4" t="s">
        <v>67</v>
      </c>
      <c r="B102" s="35" t="s">
        <v>5</v>
      </c>
      <c r="C102" s="5" t="s">
        <v>16</v>
      </c>
      <c r="D102" s="15" t="s">
        <v>6</v>
      </c>
      <c r="E102" s="5">
        <f>22-E58</f>
        <v>16.940000000000001</v>
      </c>
      <c r="F102" s="5">
        <f>G79</f>
        <v>73.179999999999993</v>
      </c>
      <c r="G102" s="5">
        <f t="shared" si="13"/>
        <v>56.239999999999995</v>
      </c>
      <c r="H102" s="141"/>
      <c r="I102" s="5"/>
      <c r="J102" s="5" t="s">
        <v>56</v>
      </c>
      <c r="K102" s="45">
        <v>46041</v>
      </c>
      <c r="L102" s="5" t="s">
        <v>79</v>
      </c>
      <c r="M102" s="5">
        <v>50</v>
      </c>
      <c r="N102" s="42" t="s">
        <v>49</v>
      </c>
      <c r="O102" s="5" t="s">
        <v>80</v>
      </c>
      <c r="P102" s="5" t="s">
        <v>50</v>
      </c>
      <c r="Q102" s="8">
        <v>46060</v>
      </c>
      <c r="R102" s="5"/>
      <c r="S102" s="5"/>
    </row>
    <row r="103" spans="1:21" ht="15" customHeight="1" x14ac:dyDescent="0.25">
      <c r="A103" s="159" t="s">
        <v>17</v>
      </c>
      <c r="B103" s="157" t="s">
        <v>37</v>
      </c>
      <c r="C103" s="5" t="s">
        <v>38</v>
      </c>
      <c r="D103" s="15" t="s">
        <v>39</v>
      </c>
      <c r="E103" s="155">
        <f>2050-E59</f>
        <v>1550</v>
      </c>
      <c r="F103" s="155">
        <f>G80</f>
        <v>-256</v>
      </c>
      <c r="G103" s="153">
        <f t="shared" si="13"/>
        <v>-1806</v>
      </c>
      <c r="H103" s="141"/>
      <c r="I103" s="161">
        <v>46055</v>
      </c>
      <c r="J103" s="137" t="s">
        <v>56</v>
      </c>
      <c r="K103" s="138">
        <v>46087</v>
      </c>
      <c r="L103" s="137" t="s">
        <v>83</v>
      </c>
      <c r="M103" s="7">
        <v>1500</v>
      </c>
      <c r="N103" s="74" t="s">
        <v>49</v>
      </c>
      <c r="O103" s="5" t="s">
        <v>80</v>
      </c>
      <c r="P103" s="5" t="s">
        <v>50</v>
      </c>
      <c r="Q103" s="8">
        <v>46094</v>
      </c>
      <c r="R103" s="74">
        <f>M103-1500</f>
        <v>0</v>
      </c>
      <c r="S103" s="74" t="s">
        <v>159</v>
      </c>
    </row>
    <row r="104" spans="1:21" ht="15" customHeight="1" x14ac:dyDescent="0.25">
      <c r="A104" s="160"/>
      <c r="B104" s="158"/>
      <c r="C104" s="5"/>
      <c r="D104" s="15"/>
      <c r="E104" s="156"/>
      <c r="F104" s="156"/>
      <c r="G104" s="154"/>
      <c r="H104" s="141"/>
      <c r="I104" s="161"/>
      <c r="J104" s="137"/>
      <c r="K104" s="138"/>
      <c r="L104" s="137"/>
      <c r="M104" s="7">
        <f>3240-M103</f>
        <v>1740</v>
      </c>
      <c r="N104" s="74" t="s">
        <v>49</v>
      </c>
      <c r="O104" s="75" t="s">
        <v>122</v>
      </c>
      <c r="P104" s="5" t="s">
        <v>54</v>
      </c>
      <c r="Q104" s="73">
        <v>46106</v>
      </c>
      <c r="R104" s="74"/>
      <c r="S104" s="74"/>
    </row>
    <row r="105" spans="1:21" x14ac:dyDescent="0.25">
      <c r="A105" s="4" t="s">
        <v>30</v>
      </c>
      <c r="B105" s="35" t="s">
        <v>75</v>
      </c>
      <c r="C105" s="5"/>
      <c r="D105" s="14"/>
      <c r="E105" s="5">
        <f>50-E60</f>
        <v>38.5</v>
      </c>
      <c r="F105" s="5">
        <f>G81+45</f>
        <v>136</v>
      </c>
      <c r="G105" s="5">
        <f t="shared" si="13"/>
        <v>97.5</v>
      </c>
      <c r="H105" s="141"/>
      <c r="I105" s="108" t="s">
        <v>60</v>
      </c>
      <c r="J105" s="109"/>
      <c r="K105" s="109"/>
      <c r="L105" s="109"/>
      <c r="M105" s="109"/>
      <c r="N105" s="109"/>
      <c r="O105" s="109"/>
      <c r="P105" s="109"/>
      <c r="Q105" s="110"/>
      <c r="R105" s="5"/>
      <c r="S105" s="5"/>
    </row>
    <row r="106" spans="1:21" x14ac:dyDescent="0.25">
      <c r="A106" s="4" t="s">
        <v>61</v>
      </c>
      <c r="B106" s="35" t="s">
        <v>62</v>
      </c>
      <c r="C106" s="104"/>
      <c r="D106" s="14"/>
      <c r="E106" s="5">
        <f>2000-E61</f>
        <v>1500</v>
      </c>
      <c r="F106" s="5">
        <f>G82</f>
        <v>2500</v>
      </c>
      <c r="G106" s="5">
        <f t="shared" si="13"/>
        <v>1000</v>
      </c>
      <c r="H106" s="141"/>
      <c r="I106" s="108" t="s">
        <v>60</v>
      </c>
      <c r="J106" s="109"/>
      <c r="K106" s="109"/>
      <c r="L106" s="109"/>
      <c r="M106" s="109"/>
      <c r="N106" s="109"/>
      <c r="O106" s="109"/>
      <c r="P106" s="109"/>
      <c r="Q106" s="110"/>
      <c r="R106" s="5"/>
      <c r="S106" s="5" t="s">
        <v>160</v>
      </c>
    </row>
    <row r="107" spans="1:21" x14ac:dyDescent="0.25">
      <c r="A107" s="4" t="s">
        <v>108</v>
      </c>
      <c r="B107" s="37" t="s">
        <v>111</v>
      </c>
      <c r="C107" s="101"/>
      <c r="D107" s="14"/>
      <c r="E107" s="5">
        <v>3000</v>
      </c>
      <c r="F107" s="5">
        <f>G62</f>
        <v>6080</v>
      </c>
      <c r="G107" s="5">
        <f t="shared" si="13"/>
        <v>3080</v>
      </c>
      <c r="H107" s="141"/>
      <c r="I107" s="18">
        <v>46034</v>
      </c>
      <c r="J107" s="5" t="s">
        <v>57</v>
      </c>
      <c r="K107" s="45">
        <v>46058</v>
      </c>
      <c r="L107" s="5" t="s">
        <v>107</v>
      </c>
      <c r="M107" s="5">
        <v>8000</v>
      </c>
      <c r="N107" s="5"/>
      <c r="O107" s="5"/>
      <c r="P107" s="5" t="s">
        <v>54</v>
      </c>
      <c r="Q107" s="5"/>
      <c r="R107" s="5"/>
      <c r="S107" s="5"/>
    </row>
    <row r="108" spans="1:21" x14ac:dyDescent="0.25">
      <c r="A108" s="4" t="s">
        <v>65</v>
      </c>
      <c r="B108" s="35" t="s">
        <v>66</v>
      </c>
      <c r="C108" s="5"/>
      <c r="D108" s="14"/>
      <c r="E108" s="5">
        <f>95-E63</f>
        <v>89.48</v>
      </c>
      <c r="F108" s="5">
        <f>G85</f>
        <v>195.96000000000004</v>
      </c>
      <c r="G108" s="5">
        <f t="shared" si="13"/>
        <v>106.48000000000003</v>
      </c>
      <c r="H108" s="141"/>
      <c r="I108" s="18">
        <v>45999</v>
      </c>
      <c r="J108" s="5" t="s">
        <v>71</v>
      </c>
      <c r="K108" s="30"/>
      <c r="L108" s="5" t="s">
        <v>69</v>
      </c>
      <c r="M108" s="5">
        <v>3000</v>
      </c>
      <c r="N108" s="5" t="s">
        <v>75</v>
      </c>
      <c r="O108" s="5" t="s">
        <v>75</v>
      </c>
      <c r="P108" s="5" t="s">
        <v>54</v>
      </c>
      <c r="Q108" s="5"/>
      <c r="R108" s="5"/>
      <c r="S108" s="5"/>
    </row>
    <row r="109" spans="1:21" x14ac:dyDescent="0.25">
      <c r="A109" s="4" t="s">
        <v>72</v>
      </c>
      <c r="B109" s="35" t="s">
        <v>43</v>
      </c>
      <c r="C109" s="5"/>
      <c r="D109" s="14"/>
      <c r="E109" s="5">
        <f>1500/30</f>
        <v>50</v>
      </c>
      <c r="F109" s="5">
        <v>0</v>
      </c>
      <c r="G109" s="5">
        <f t="shared" si="13"/>
        <v>-50</v>
      </c>
      <c r="H109" s="141"/>
      <c r="I109" s="18">
        <v>46045</v>
      </c>
      <c r="J109" s="5" t="s">
        <v>70</v>
      </c>
      <c r="K109" s="45">
        <v>46087</v>
      </c>
      <c r="L109" s="5" t="s">
        <v>64</v>
      </c>
      <c r="M109" s="5">
        <v>70</v>
      </c>
      <c r="N109" s="5" t="s">
        <v>75</v>
      </c>
      <c r="O109" s="5" t="s">
        <v>75</v>
      </c>
      <c r="P109" s="5"/>
      <c r="Q109" s="26" t="s">
        <v>188</v>
      </c>
      <c r="R109" s="5"/>
      <c r="S109" s="5"/>
    </row>
    <row r="111" spans="1:21" x14ac:dyDescent="0.25">
      <c r="A111" s="1" t="s">
        <v>20</v>
      </c>
      <c r="C111" s="2" t="s">
        <v>134</v>
      </c>
    </row>
    <row r="112" spans="1:21" s="11" customFormat="1" ht="30" x14ac:dyDescent="0.25">
      <c r="A112" s="9" t="s">
        <v>42</v>
      </c>
      <c r="B112" s="34" t="s">
        <v>2</v>
      </c>
      <c r="C112" s="9" t="s">
        <v>13</v>
      </c>
      <c r="D112" s="13" t="s">
        <v>14</v>
      </c>
      <c r="E112" s="9" t="s">
        <v>4</v>
      </c>
      <c r="F112" s="10" t="s">
        <v>94</v>
      </c>
      <c r="G112" s="10" t="s">
        <v>103</v>
      </c>
      <c r="H112" s="9" t="s">
        <v>34</v>
      </c>
      <c r="I112" s="9" t="s">
        <v>11</v>
      </c>
      <c r="J112" s="10" t="s">
        <v>58</v>
      </c>
      <c r="K112" s="10" t="s">
        <v>177</v>
      </c>
      <c r="L112" s="9" t="s">
        <v>8</v>
      </c>
      <c r="M112" s="9" t="s">
        <v>7</v>
      </c>
      <c r="N112" s="9" t="s">
        <v>31</v>
      </c>
      <c r="O112" s="9" t="s">
        <v>32</v>
      </c>
      <c r="P112" s="9" t="s">
        <v>29</v>
      </c>
      <c r="Q112" s="9" t="s">
        <v>33</v>
      </c>
      <c r="R112" s="9" t="s">
        <v>26</v>
      </c>
      <c r="S112" s="9" t="s">
        <v>27</v>
      </c>
    </row>
    <row r="113" spans="1:19" x14ac:dyDescent="0.25">
      <c r="A113" s="4" t="s">
        <v>0</v>
      </c>
      <c r="B113" s="35" t="s">
        <v>45</v>
      </c>
      <c r="C113" s="5"/>
      <c r="D113" s="14"/>
      <c r="E113" s="5">
        <v>15000</v>
      </c>
      <c r="F113" s="5">
        <f>G90</f>
        <v>64577</v>
      </c>
      <c r="G113" s="5">
        <f>F113-E113</f>
        <v>49577</v>
      </c>
      <c r="H113" s="119">
        <v>45979</v>
      </c>
      <c r="I113" s="108" t="s">
        <v>60</v>
      </c>
      <c r="J113" s="109"/>
      <c r="K113" s="109"/>
      <c r="L113" s="109"/>
      <c r="M113" s="109"/>
      <c r="N113" s="109"/>
      <c r="O113" s="109"/>
      <c r="P113" s="109"/>
      <c r="Q113" s="110"/>
      <c r="R113" s="5"/>
      <c r="S113" s="5"/>
    </row>
    <row r="114" spans="1:19" x14ac:dyDescent="0.25">
      <c r="A114" s="4" t="s">
        <v>131</v>
      </c>
      <c r="B114" s="35" t="s">
        <v>45</v>
      </c>
      <c r="C114" s="43"/>
      <c r="D114" s="44"/>
      <c r="E114" s="5">
        <f>2.05*1000</f>
        <v>2050</v>
      </c>
      <c r="F114" s="5">
        <f>G91</f>
        <v>11559</v>
      </c>
      <c r="G114" s="5">
        <f>F114-E114</f>
        <v>9509</v>
      </c>
      <c r="H114" s="139"/>
      <c r="I114" s="108" t="s">
        <v>60</v>
      </c>
      <c r="J114" s="109"/>
      <c r="K114" s="109"/>
      <c r="L114" s="109"/>
      <c r="M114" s="109"/>
      <c r="N114" s="109"/>
      <c r="O114" s="109"/>
      <c r="P114" s="109"/>
      <c r="Q114" s="110"/>
      <c r="R114" s="5"/>
      <c r="S114" s="5"/>
    </row>
    <row r="115" spans="1:19" x14ac:dyDescent="0.25">
      <c r="A115" s="4" t="s">
        <v>129</v>
      </c>
      <c r="B115" s="35" t="s">
        <v>45</v>
      </c>
      <c r="C115" s="43"/>
      <c r="D115" s="44"/>
      <c r="E115" s="5">
        <f>2.05*1000</f>
        <v>2050</v>
      </c>
      <c r="F115" s="5">
        <f>G92</f>
        <v>7579</v>
      </c>
      <c r="G115" s="5">
        <f t="shared" ref="G115" si="14">F115-E115</f>
        <v>5529</v>
      </c>
      <c r="H115" s="139"/>
      <c r="I115" s="108" t="s">
        <v>60</v>
      </c>
      <c r="J115" s="109"/>
      <c r="K115" s="109"/>
      <c r="L115" s="109"/>
      <c r="M115" s="109"/>
      <c r="N115" s="109"/>
      <c r="O115" s="109"/>
      <c r="P115" s="109"/>
      <c r="Q115" s="110"/>
      <c r="R115" s="5"/>
      <c r="S115" s="5"/>
    </row>
    <row r="116" spans="1:19" x14ac:dyDescent="0.25">
      <c r="A116" s="4" t="s">
        <v>130</v>
      </c>
      <c r="B116" s="35" t="s">
        <v>45</v>
      </c>
      <c r="C116" s="43"/>
      <c r="D116" s="44"/>
      <c r="E116" s="5">
        <v>1000</v>
      </c>
      <c r="F116" s="5">
        <f>G93</f>
        <v>5348</v>
      </c>
      <c r="G116" s="5">
        <f>F116-E116</f>
        <v>4348</v>
      </c>
      <c r="H116" s="139"/>
      <c r="I116" s="108" t="s">
        <v>60</v>
      </c>
      <c r="J116" s="109"/>
      <c r="K116" s="109"/>
      <c r="L116" s="109"/>
      <c r="M116" s="109"/>
      <c r="N116" s="109"/>
      <c r="O116" s="109"/>
      <c r="P116" s="109"/>
      <c r="Q116" s="110"/>
      <c r="R116" s="5"/>
      <c r="S116" s="5"/>
    </row>
    <row r="117" spans="1:19" x14ac:dyDescent="0.25">
      <c r="A117" s="4" t="s">
        <v>105</v>
      </c>
      <c r="B117" s="98" t="s">
        <v>35</v>
      </c>
      <c r="C117" s="100" t="s">
        <v>12</v>
      </c>
      <c r="D117" s="102" t="s">
        <v>15</v>
      </c>
      <c r="E117" s="5">
        <v>1000</v>
      </c>
      <c r="F117" s="5">
        <f>G72</f>
        <v>560</v>
      </c>
      <c r="G117" s="5">
        <f t="shared" ref="G117:G120" si="15">F117-E117</f>
        <v>-440</v>
      </c>
      <c r="H117" s="139"/>
      <c r="I117" s="51">
        <v>46087</v>
      </c>
      <c r="J117" s="56" t="s">
        <v>56</v>
      </c>
      <c r="K117" s="51">
        <v>46087</v>
      </c>
      <c r="L117" s="58" t="s">
        <v>148</v>
      </c>
      <c r="M117" s="58">
        <v>1030</v>
      </c>
      <c r="N117" s="5" t="s">
        <v>89</v>
      </c>
      <c r="O117" s="5"/>
      <c r="P117" s="5"/>
      <c r="Q117" s="8">
        <v>46106</v>
      </c>
      <c r="R117" s="5"/>
      <c r="S117" s="5"/>
    </row>
    <row r="118" spans="1:19" x14ac:dyDescent="0.25">
      <c r="A118" s="4" t="s">
        <v>59</v>
      </c>
      <c r="B118" s="99"/>
      <c r="C118" s="101"/>
      <c r="D118" s="103"/>
      <c r="E118" s="5">
        <v>118</v>
      </c>
      <c r="F118" s="5">
        <f>G96</f>
        <v>650.52</v>
      </c>
      <c r="G118" s="5">
        <f t="shared" si="15"/>
        <v>532.52</v>
      </c>
      <c r="H118" s="139"/>
      <c r="I118" s="108" t="s">
        <v>60</v>
      </c>
      <c r="J118" s="109"/>
      <c r="K118" s="109"/>
      <c r="L118" s="109"/>
      <c r="M118" s="109"/>
      <c r="N118" s="109"/>
      <c r="O118" s="109"/>
      <c r="P118" s="109"/>
      <c r="Q118" s="110"/>
      <c r="R118" s="5"/>
      <c r="S118" s="5"/>
    </row>
    <row r="119" spans="1:19" x14ac:dyDescent="0.25">
      <c r="A119" s="4" t="s">
        <v>47</v>
      </c>
      <c r="B119" s="98" t="s">
        <v>36</v>
      </c>
      <c r="C119" s="100" t="s">
        <v>41</v>
      </c>
      <c r="D119" s="146" t="s">
        <v>40</v>
      </c>
      <c r="E119" s="5">
        <v>703</v>
      </c>
      <c r="F119" s="5">
        <f>G97</f>
        <v>78.300000000000011</v>
      </c>
      <c r="G119" s="5">
        <f t="shared" si="15"/>
        <v>-624.70000000000005</v>
      </c>
      <c r="H119" s="139"/>
      <c r="I119" s="119">
        <v>46051</v>
      </c>
      <c r="J119" s="100" t="s">
        <v>56</v>
      </c>
      <c r="K119" s="115">
        <v>46056</v>
      </c>
      <c r="L119" s="100" t="s">
        <v>52</v>
      </c>
      <c r="M119" s="5">
        <v>2850</v>
      </c>
      <c r="N119" s="100" t="s">
        <v>89</v>
      </c>
      <c r="O119" s="106" t="s">
        <v>91</v>
      </c>
      <c r="P119" s="5" t="s">
        <v>201</v>
      </c>
      <c r="Q119" s="111">
        <v>46106</v>
      </c>
      <c r="R119" s="8">
        <v>46119</v>
      </c>
      <c r="S119" s="8" t="s">
        <v>161</v>
      </c>
    </row>
    <row r="120" spans="1:19" x14ac:dyDescent="0.25">
      <c r="A120" s="4" t="s">
        <v>48</v>
      </c>
      <c r="B120" s="99"/>
      <c r="C120" s="101"/>
      <c r="D120" s="147"/>
      <c r="E120" s="5">
        <v>1054.5</v>
      </c>
      <c r="F120" s="5">
        <f>G98</f>
        <v>41.699999999999932</v>
      </c>
      <c r="G120" s="5">
        <f t="shared" si="15"/>
        <v>-1012.8000000000001</v>
      </c>
      <c r="H120" s="139"/>
      <c r="I120" s="101"/>
      <c r="J120" s="101"/>
      <c r="K120" s="116"/>
      <c r="L120" s="101"/>
      <c r="M120" s="6">
        <v>3750</v>
      </c>
      <c r="N120" s="101"/>
      <c r="O120" s="107"/>
      <c r="P120" s="5" t="s">
        <v>201</v>
      </c>
      <c r="Q120" s="112"/>
      <c r="R120" s="5"/>
      <c r="S120" s="5"/>
    </row>
    <row r="121" spans="1:19" x14ac:dyDescent="0.25">
      <c r="A121" s="151" t="s">
        <v>106</v>
      </c>
      <c r="B121" s="98" t="s">
        <v>93</v>
      </c>
      <c r="C121" s="100" t="s">
        <v>88</v>
      </c>
      <c r="D121" s="16"/>
      <c r="E121" s="100">
        <f>E120+E119</f>
        <v>1757.5</v>
      </c>
      <c r="F121" s="5"/>
      <c r="G121" s="5"/>
      <c r="H121" s="139"/>
      <c r="I121" s="113">
        <v>46062</v>
      </c>
      <c r="J121" s="100" t="s">
        <v>56</v>
      </c>
      <c r="K121" s="115">
        <v>46064</v>
      </c>
      <c r="L121" s="117" t="s">
        <v>90</v>
      </c>
      <c r="M121" s="5">
        <v>2250</v>
      </c>
      <c r="N121" s="21" t="s">
        <v>49</v>
      </c>
      <c r="O121" s="106" t="s">
        <v>81</v>
      </c>
      <c r="P121" s="5" t="s">
        <v>202</v>
      </c>
      <c r="Q121" s="111">
        <v>46098</v>
      </c>
      <c r="R121" s="8"/>
      <c r="S121" s="5"/>
    </row>
    <row r="122" spans="1:19" x14ac:dyDescent="0.25">
      <c r="A122" s="152"/>
      <c r="B122" s="99"/>
      <c r="C122" s="101"/>
      <c r="D122" s="16"/>
      <c r="E122" s="101"/>
      <c r="F122" s="5"/>
      <c r="G122" s="5"/>
      <c r="H122" s="139"/>
      <c r="I122" s="114"/>
      <c r="J122" s="101"/>
      <c r="K122" s="116"/>
      <c r="L122" s="118"/>
      <c r="M122" s="6">
        <f>6300-M121</f>
        <v>4050</v>
      </c>
      <c r="N122" s="21" t="s">
        <v>89</v>
      </c>
      <c r="O122" s="107"/>
      <c r="P122" s="5" t="s">
        <v>202</v>
      </c>
      <c r="Q122" s="112"/>
      <c r="R122" s="5"/>
      <c r="S122" s="5"/>
    </row>
    <row r="123" spans="1:19" x14ac:dyDescent="0.25">
      <c r="A123" s="4" t="s">
        <v>3</v>
      </c>
      <c r="B123" s="35" t="s">
        <v>68</v>
      </c>
      <c r="C123" s="5"/>
      <c r="D123" s="15"/>
      <c r="E123" s="5">
        <v>2</v>
      </c>
      <c r="F123" s="5">
        <f>G101</f>
        <v>24.020000000000007</v>
      </c>
      <c r="G123" s="5">
        <f>F123-E123</f>
        <v>22.020000000000007</v>
      </c>
      <c r="H123" s="139"/>
      <c r="I123" s="108" t="s">
        <v>60</v>
      </c>
      <c r="J123" s="109"/>
      <c r="K123" s="109"/>
      <c r="L123" s="109"/>
      <c r="M123" s="109"/>
      <c r="N123" s="109"/>
      <c r="O123" s="109"/>
      <c r="P123" s="109"/>
      <c r="Q123" s="110"/>
      <c r="R123" s="5"/>
      <c r="S123" s="5"/>
    </row>
    <row r="124" spans="1:19" x14ac:dyDescent="0.25">
      <c r="A124" s="4" t="s">
        <v>67</v>
      </c>
      <c r="B124" s="35" t="s">
        <v>5</v>
      </c>
      <c r="C124" s="5" t="s">
        <v>16</v>
      </c>
      <c r="D124" s="15" t="s">
        <v>6</v>
      </c>
      <c r="E124" s="5">
        <v>25</v>
      </c>
      <c r="F124" s="5">
        <f>G102</f>
        <v>56.239999999999995</v>
      </c>
      <c r="G124" s="5">
        <f t="shared" ref="G124:G130" si="16">F124-E124</f>
        <v>31.239999999999995</v>
      </c>
      <c r="H124" s="139"/>
      <c r="I124" s="5"/>
      <c r="J124" s="5" t="s">
        <v>56</v>
      </c>
      <c r="K124" s="45">
        <v>46041</v>
      </c>
      <c r="L124" s="5" t="s">
        <v>79</v>
      </c>
      <c r="M124" s="5">
        <v>50</v>
      </c>
      <c r="N124" s="42" t="s">
        <v>49</v>
      </c>
      <c r="O124" s="5" t="s">
        <v>80</v>
      </c>
      <c r="P124" s="5" t="s">
        <v>50</v>
      </c>
      <c r="Q124" s="8">
        <v>46060</v>
      </c>
      <c r="R124" s="5"/>
      <c r="S124" s="5"/>
    </row>
    <row r="125" spans="1:19" x14ac:dyDescent="0.25">
      <c r="A125" s="4" t="s">
        <v>17</v>
      </c>
      <c r="B125" s="35" t="s">
        <v>37</v>
      </c>
      <c r="C125" s="5" t="s">
        <v>38</v>
      </c>
      <c r="D125" s="15" t="s">
        <v>39</v>
      </c>
      <c r="E125" s="5">
        <v>1025</v>
      </c>
      <c r="F125" s="5">
        <f>G103</f>
        <v>-1806</v>
      </c>
      <c r="G125" s="5">
        <f t="shared" si="16"/>
        <v>-2831</v>
      </c>
      <c r="H125" s="139"/>
      <c r="I125" s="8">
        <v>46055</v>
      </c>
      <c r="J125" s="5" t="s">
        <v>56</v>
      </c>
      <c r="K125" s="45">
        <v>46087</v>
      </c>
      <c r="L125" s="5" t="s">
        <v>83</v>
      </c>
      <c r="M125" s="5">
        <v>3240</v>
      </c>
      <c r="N125" s="21" t="s">
        <v>49</v>
      </c>
      <c r="O125" s="5" t="s">
        <v>81</v>
      </c>
      <c r="P125" s="5" t="s">
        <v>82</v>
      </c>
      <c r="Q125" s="52">
        <v>46106</v>
      </c>
      <c r="R125" s="8"/>
      <c r="S125" s="5"/>
    </row>
    <row r="126" spans="1:19" x14ac:dyDescent="0.25">
      <c r="A126" s="4" t="s">
        <v>30</v>
      </c>
      <c r="B126" s="35" t="s">
        <v>75</v>
      </c>
      <c r="C126" s="5"/>
      <c r="D126" s="14"/>
      <c r="E126" s="5">
        <v>25</v>
      </c>
      <c r="F126" s="5">
        <f>G105</f>
        <v>97.5</v>
      </c>
      <c r="G126" s="5">
        <f t="shared" si="16"/>
        <v>72.5</v>
      </c>
      <c r="H126" s="139"/>
      <c r="I126" s="108" t="s">
        <v>60</v>
      </c>
      <c r="J126" s="109"/>
      <c r="K126" s="109"/>
      <c r="L126" s="109"/>
      <c r="M126" s="109"/>
      <c r="N126" s="109"/>
      <c r="O126" s="109"/>
      <c r="P126" s="109"/>
      <c r="Q126" s="110"/>
      <c r="R126" s="5"/>
      <c r="S126" s="5"/>
    </row>
    <row r="127" spans="1:19" x14ac:dyDescent="0.25">
      <c r="A127" s="4" t="s">
        <v>110</v>
      </c>
      <c r="B127" s="98" t="s">
        <v>111</v>
      </c>
      <c r="C127" s="100" t="s">
        <v>63</v>
      </c>
      <c r="D127" s="14"/>
      <c r="E127" s="5">
        <v>1000</v>
      </c>
      <c r="F127" s="5">
        <f>G83</f>
        <v>280</v>
      </c>
      <c r="G127" s="5">
        <f t="shared" si="16"/>
        <v>-720</v>
      </c>
      <c r="H127" s="139"/>
      <c r="I127" s="119">
        <v>46034</v>
      </c>
      <c r="J127" s="5" t="s">
        <v>57</v>
      </c>
      <c r="K127" s="115">
        <v>46058</v>
      </c>
      <c r="L127" s="5" t="s">
        <v>107</v>
      </c>
      <c r="M127" s="5">
        <v>5250</v>
      </c>
      <c r="N127" s="5" t="s">
        <v>189</v>
      </c>
      <c r="O127" s="5"/>
      <c r="P127" s="5" t="s">
        <v>199</v>
      </c>
      <c r="Q127" s="8">
        <v>46097</v>
      </c>
      <c r="R127" s="5"/>
      <c r="S127" s="5"/>
    </row>
    <row r="128" spans="1:19" x14ac:dyDescent="0.25">
      <c r="A128" s="4" t="s">
        <v>109</v>
      </c>
      <c r="B128" s="99"/>
      <c r="C128" s="101"/>
      <c r="D128" s="14"/>
      <c r="E128" s="5">
        <v>1000</v>
      </c>
      <c r="F128" s="5">
        <f>G84</f>
        <v>280</v>
      </c>
      <c r="G128" s="5">
        <f t="shared" si="16"/>
        <v>-720</v>
      </c>
      <c r="H128" s="139"/>
      <c r="I128" s="101"/>
      <c r="J128" s="5" t="s">
        <v>57</v>
      </c>
      <c r="K128" s="116"/>
      <c r="L128" s="5" t="s">
        <v>107</v>
      </c>
      <c r="M128" s="5">
        <v>5250</v>
      </c>
      <c r="N128" s="5" t="s">
        <v>189</v>
      </c>
      <c r="O128" s="5"/>
      <c r="P128" s="5" t="s">
        <v>199</v>
      </c>
      <c r="Q128" s="8">
        <v>46097</v>
      </c>
      <c r="R128" s="5"/>
      <c r="S128" s="5"/>
    </row>
    <row r="129" spans="1:20" x14ac:dyDescent="0.25">
      <c r="A129" s="4" t="s">
        <v>65</v>
      </c>
      <c r="B129" s="35" t="s">
        <v>66</v>
      </c>
      <c r="C129" s="5"/>
      <c r="D129" s="14"/>
      <c r="E129" s="5">
        <v>95</v>
      </c>
      <c r="F129" s="5">
        <f>G108</f>
        <v>106.48000000000003</v>
      </c>
      <c r="G129" s="5">
        <f t="shared" si="16"/>
        <v>11.480000000000032</v>
      </c>
      <c r="H129" s="139"/>
      <c r="I129" s="18">
        <v>45999</v>
      </c>
      <c r="J129" s="5" t="s">
        <v>71</v>
      </c>
      <c r="K129" s="30"/>
      <c r="L129" s="5" t="s">
        <v>69</v>
      </c>
      <c r="M129" s="5">
        <v>3000</v>
      </c>
      <c r="N129" s="5" t="s">
        <v>75</v>
      </c>
      <c r="O129" s="5" t="s">
        <v>75</v>
      </c>
      <c r="P129" s="5" t="s">
        <v>54</v>
      </c>
      <c r="Q129" s="5"/>
      <c r="R129" s="5"/>
      <c r="S129" s="5"/>
    </row>
    <row r="130" spans="1:20" x14ac:dyDescent="0.25">
      <c r="A130" s="4" t="s">
        <v>72</v>
      </c>
      <c r="B130" s="35" t="s">
        <v>43</v>
      </c>
      <c r="C130" s="5"/>
      <c r="D130" s="14"/>
      <c r="E130" s="5">
        <v>34</v>
      </c>
      <c r="F130" s="5">
        <v>0</v>
      </c>
      <c r="G130" s="5">
        <f t="shared" si="16"/>
        <v>-34</v>
      </c>
      <c r="H130" s="140"/>
      <c r="I130" s="18">
        <v>46045</v>
      </c>
      <c r="J130" s="5" t="s">
        <v>70</v>
      </c>
      <c r="K130" s="45">
        <v>46087</v>
      </c>
      <c r="L130" s="5" t="s">
        <v>64</v>
      </c>
      <c r="M130" s="5"/>
      <c r="N130" s="5" t="s">
        <v>75</v>
      </c>
      <c r="O130" s="5" t="s">
        <v>75</v>
      </c>
      <c r="P130" s="5" t="s">
        <v>200</v>
      </c>
      <c r="Q130" s="26" t="s">
        <v>188</v>
      </c>
      <c r="R130" s="5"/>
      <c r="S130" s="5"/>
    </row>
    <row r="132" spans="1:20" x14ac:dyDescent="0.25">
      <c r="A132" s="1" t="s">
        <v>76</v>
      </c>
      <c r="B132" s="33" t="s">
        <v>118</v>
      </c>
      <c r="C132" s="2" t="s">
        <v>133</v>
      </c>
    </row>
    <row r="133" spans="1:20" s="11" customFormat="1" ht="30" x14ac:dyDescent="0.25">
      <c r="A133" s="9" t="s">
        <v>42</v>
      </c>
      <c r="B133" s="34" t="s">
        <v>2</v>
      </c>
      <c r="C133" s="9" t="s">
        <v>13</v>
      </c>
      <c r="D133" s="13" t="s">
        <v>14</v>
      </c>
      <c r="E133" s="9" t="s">
        <v>4</v>
      </c>
      <c r="F133" s="10" t="s">
        <v>94</v>
      </c>
      <c r="G133" s="10" t="s">
        <v>103</v>
      </c>
      <c r="H133" s="9" t="s">
        <v>34</v>
      </c>
      <c r="I133" s="9" t="s">
        <v>11</v>
      </c>
      <c r="J133" s="10" t="s">
        <v>58</v>
      </c>
      <c r="K133" s="10" t="s">
        <v>177</v>
      </c>
      <c r="L133" s="9" t="s">
        <v>8</v>
      </c>
      <c r="M133" s="9" t="s">
        <v>7</v>
      </c>
      <c r="N133" s="9" t="s">
        <v>31</v>
      </c>
      <c r="O133" s="9" t="s">
        <v>32</v>
      </c>
      <c r="P133" s="9" t="s">
        <v>29</v>
      </c>
      <c r="Q133" s="9" t="s">
        <v>33</v>
      </c>
      <c r="R133" s="9" t="s">
        <v>26</v>
      </c>
      <c r="S133" s="9" t="s">
        <v>27</v>
      </c>
    </row>
    <row r="134" spans="1:20" x14ac:dyDescent="0.25">
      <c r="A134" s="4" t="s">
        <v>0</v>
      </c>
      <c r="B134" s="35" t="s">
        <v>45</v>
      </c>
      <c r="C134" s="5"/>
      <c r="D134" s="14"/>
      <c r="E134" s="5">
        <v>21334</v>
      </c>
      <c r="F134" s="5">
        <f>G113</f>
        <v>49577</v>
      </c>
      <c r="G134" s="5">
        <f>F134-E134</f>
        <v>28243</v>
      </c>
      <c r="H134" s="141">
        <v>45932</v>
      </c>
      <c r="I134" s="108" t="s">
        <v>60</v>
      </c>
      <c r="J134" s="109"/>
      <c r="K134" s="109"/>
      <c r="L134" s="109"/>
      <c r="M134" s="109"/>
      <c r="N134" s="109"/>
      <c r="O134" s="109"/>
      <c r="P134" s="109"/>
      <c r="Q134" s="110"/>
      <c r="R134" s="5"/>
      <c r="S134" s="5"/>
    </row>
    <row r="135" spans="1:20" x14ac:dyDescent="0.25">
      <c r="A135" s="4" t="s">
        <v>131</v>
      </c>
      <c r="B135" s="35" t="s">
        <v>45</v>
      </c>
      <c r="C135" s="43"/>
      <c r="D135" s="44"/>
      <c r="E135" s="5">
        <f>2.05*2000</f>
        <v>4100</v>
      </c>
      <c r="F135" s="5">
        <f>G114</f>
        <v>9509</v>
      </c>
      <c r="G135" s="5">
        <f>F135-E135</f>
        <v>5409</v>
      </c>
      <c r="H135" s="141"/>
      <c r="I135" s="108" t="s">
        <v>60</v>
      </c>
      <c r="J135" s="109"/>
      <c r="K135" s="109"/>
      <c r="L135" s="109"/>
      <c r="M135" s="109"/>
      <c r="N135" s="109"/>
      <c r="O135" s="109"/>
      <c r="P135" s="109"/>
      <c r="Q135" s="110"/>
      <c r="R135" s="5"/>
      <c r="S135" s="5"/>
    </row>
    <row r="136" spans="1:20" x14ac:dyDescent="0.25">
      <c r="A136" s="4" t="s">
        <v>129</v>
      </c>
      <c r="B136" s="35" t="s">
        <v>45</v>
      </c>
      <c r="C136" s="43"/>
      <c r="D136" s="44"/>
      <c r="E136" s="5">
        <f>2.05*2000</f>
        <v>4100</v>
      </c>
      <c r="F136" s="5">
        <f t="shared" ref="F136:F137" si="17">G115</f>
        <v>5529</v>
      </c>
      <c r="G136" s="5">
        <f t="shared" ref="G136:G137" si="18">F136-E136</f>
        <v>1429</v>
      </c>
      <c r="H136" s="141"/>
      <c r="I136" s="108" t="s">
        <v>60</v>
      </c>
      <c r="J136" s="109"/>
      <c r="K136" s="109"/>
      <c r="L136" s="109"/>
      <c r="M136" s="109"/>
      <c r="N136" s="109"/>
      <c r="O136" s="109"/>
      <c r="P136" s="109"/>
      <c r="Q136" s="110"/>
      <c r="R136" s="5"/>
      <c r="S136" s="5"/>
    </row>
    <row r="137" spans="1:20" x14ac:dyDescent="0.25">
      <c r="A137" s="4" t="s">
        <v>130</v>
      </c>
      <c r="B137" s="35" t="s">
        <v>45</v>
      </c>
      <c r="C137" s="43"/>
      <c r="D137" s="44"/>
      <c r="E137" s="5">
        <v>2000</v>
      </c>
      <c r="F137" s="5">
        <f t="shared" si="17"/>
        <v>4348</v>
      </c>
      <c r="G137" s="5">
        <f t="shared" si="18"/>
        <v>2348</v>
      </c>
      <c r="H137" s="141"/>
      <c r="I137" s="108" t="s">
        <v>60</v>
      </c>
      <c r="J137" s="109"/>
      <c r="K137" s="109"/>
      <c r="L137" s="109"/>
      <c r="M137" s="109"/>
      <c r="N137" s="109"/>
      <c r="O137" s="109"/>
      <c r="P137" s="109"/>
      <c r="Q137" s="110"/>
      <c r="R137" s="5"/>
      <c r="S137" s="5"/>
    </row>
    <row r="138" spans="1:20" ht="15" customHeight="1" x14ac:dyDescent="0.25">
      <c r="A138" s="32" t="s">
        <v>104</v>
      </c>
      <c r="B138" s="98" t="s">
        <v>35</v>
      </c>
      <c r="C138" s="100" t="s">
        <v>12</v>
      </c>
      <c r="D138" s="102" t="s">
        <v>15</v>
      </c>
      <c r="E138" s="27">
        <v>2000</v>
      </c>
      <c r="F138" s="27">
        <f>G94+M138</f>
        <v>2976</v>
      </c>
      <c r="G138" s="27">
        <f t="shared" ref="G138:G142" si="19">F138-E138</f>
        <v>976</v>
      </c>
      <c r="H138" s="141"/>
      <c r="I138" s="51">
        <v>46087</v>
      </c>
      <c r="J138" s="56" t="s">
        <v>56</v>
      </c>
      <c r="K138" s="51">
        <v>46087</v>
      </c>
      <c r="L138" s="130" t="s">
        <v>142</v>
      </c>
      <c r="M138" s="5">
        <v>2100</v>
      </c>
      <c r="N138" s="5" t="s">
        <v>89</v>
      </c>
      <c r="O138" s="5"/>
      <c r="P138" s="5"/>
      <c r="Q138" s="8">
        <v>46106</v>
      </c>
      <c r="R138" s="8">
        <v>46087</v>
      </c>
      <c r="S138" s="5" t="s">
        <v>145</v>
      </c>
      <c r="T138" t="s">
        <v>80</v>
      </c>
    </row>
    <row r="139" spans="1:20" x14ac:dyDescent="0.25">
      <c r="A139" s="4" t="s">
        <v>73</v>
      </c>
      <c r="B139" s="105"/>
      <c r="C139" s="104"/>
      <c r="D139" s="148"/>
      <c r="E139" s="5">
        <f>(0.355*0.55)*2000</f>
        <v>390.5</v>
      </c>
      <c r="F139" s="5">
        <f>G95</f>
        <v>508.9199999999999</v>
      </c>
      <c r="G139" s="5">
        <f t="shared" si="19"/>
        <v>118.4199999999999</v>
      </c>
      <c r="H139" s="141"/>
      <c r="I139" s="51">
        <v>46087</v>
      </c>
      <c r="J139" s="56" t="s">
        <v>56</v>
      </c>
      <c r="K139" s="51">
        <v>46087</v>
      </c>
      <c r="L139" s="131"/>
      <c r="M139" s="5">
        <v>880</v>
      </c>
      <c r="N139" s="5" t="s">
        <v>89</v>
      </c>
      <c r="O139" s="5"/>
      <c r="P139" s="5"/>
      <c r="Q139" s="8">
        <v>46106</v>
      </c>
      <c r="R139" s="5"/>
      <c r="S139" s="5"/>
    </row>
    <row r="140" spans="1:20" x14ac:dyDescent="0.25">
      <c r="A140" s="4" t="s">
        <v>59</v>
      </c>
      <c r="B140" s="99"/>
      <c r="C140" s="101"/>
      <c r="D140" s="103"/>
      <c r="E140" s="5">
        <v>76</v>
      </c>
      <c r="F140" s="5">
        <f>G118</f>
        <v>532.52</v>
      </c>
      <c r="G140" s="5">
        <f t="shared" si="19"/>
        <v>456.52</v>
      </c>
      <c r="H140" s="141"/>
      <c r="I140" s="108" t="s">
        <v>60</v>
      </c>
      <c r="J140" s="109"/>
      <c r="K140" s="109"/>
      <c r="L140" s="109"/>
      <c r="M140" s="109"/>
      <c r="N140" s="109"/>
      <c r="O140" s="109"/>
      <c r="P140" s="109"/>
      <c r="Q140" s="110"/>
      <c r="R140" s="5"/>
      <c r="S140" s="5" t="s">
        <v>157</v>
      </c>
      <c r="T140" s="76">
        <v>46098</v>
      </c>
    </row>
    <row r="141" spans="1:20" x14ac:dyDescent="0.25">
      <c r="A141" s="4" t="s">
        <v>47</v>
      </c>
      <c r="B141" s="98" t="s">
        <v>36</v>
      </c>
      <c r="C141" s="100" t="s">
        <v>41</v>
      </c>
      <c r="D141" s="146" t="s">
        <v>40</v>
      </c>
      <c r="E141" s="5">
        <v>788</v>
      </c>
      <c r="F141" s="5">
        <f>G119</f>
        <v>-624.70000000000005</v>
      </c>
      <c r="G141" s="5">
        <f t="shared" si="19"/>
        <v>-1412.7</v>
      </c>
      <c r="H141" s="141"/>
      <c r="I141" s="119">
        <v>46051</v>
      </c>
      <c r="J141" s="100" t="s">
        <v>56</v>
      </c>
      <c r="K141" s="115">
        <v>46056</v>
      </c>
      <c r="L141" s="100" t="s">
        <v>52</v>
      </c>
      <c r="M141" s="5">
        <v>2850</v>
      </c>
      <c r="N141" s="100" t="s">
        <v>89</v>
      </c>
      <c r="O141" s="106" t="s">
        <v>91</v>
      </c>
      <c r="P141" s="5" t="s">
        <v>203</v>
      </c>
      <c r="Q141" s="111">
        <v>46106</v>
      </c>
      <c r="R141" s="5"/>
      <c r="S141" s="5"/>
    </row>
    <row r="142" spans="1:20" x14ac:dyDescent="0.25">
      <c r="A142" s="4" t="s">
        <v>48</v>
      </c>
      <c r="B142" s="99"/>
      <c r="C142" s="101"/>
      <c r="D142" s="147"/>
      <c r="E142" s="5">
        <v>1182</v>
      </c>
      <c r="F142" s="5">
        <f>G120</f>
        <v>-1012.8000000000001</v>
      </c>
      <c r="G142" s="5">
        <f t="shared" si="19"/>
        <v>-2194.8000000000002</v>
      </c>
      <c r="H142" s="141"/>
      <c r="I142" s="101"/>
      <c r="J142" s="101"/>
      <c r="K142" s="116"/>
      <c r="L142" s="101"/>
      <c r="M142" s="6">
        <v>3750</v>
      </c>
      <c r="N142" s="101"/>
      <c r="O142" s="107"/>
      <c r="P142" s="5" t="s">
        <v>203</v>
      </c>
      <c r="Q142" s="112"/>
      <c r="R142" s="5"/>
      <c r="S142" s="5" t="s">
        <v>158</v>
      </c>
      <c r="T142" t="s">
        <v>204</v>
      </c>
    </row>
    <row r="143" spans="1:20" x14ac:dyDescent="0.25">
      <c r="A143" s="151" t="s">
        <v>106</v>
      </c>
      <c r="B143" s="98" t="s">
        <v>93</v>
      </c>
      <c r="C143" s="100" t="s">
        <v>88</v>
      </c>
      <c r="D143" s="16"/>
      <c r="E143" s="100">
        <f>E142+E141</f>
        <v>1970</v>
      </c>
      <c r="F143" s="5"/>
      <c r="G143" s="5"/>
      <c r="H143" s="141"/>
      <c r="I143" s="113">
        <v>46062</v>
      </c>
      <c r="J143" s="100" t="s">
        <v>56</v>
      </c>
      <c r="K143" s="115">
        <v>46064</v>
      </c>
      <c r="L143" s="117" t="s">
        <v>90</v>
      </c>
      <c r="M143" s="5">
        <v>2250</v>
      </c>
      <c r="N143" s="21" t="s">
        <v>49</v>
      </c>
      <c r="O143" s="106" t="s">
        <v>81</v>
      </c>
      <c r="P143" s="5" t="s">
        <v>202</v>
      </c>
      <c r="Q143" s="111">
        <v>46098</v>
      </c>
      <c r="R143" s="5"/>
      <c r="S143" s="5"/>
    </row>
    <row r="144" spans="1:20" x14ac:dyDescent="0.25">
      <c r="A144" s="152"/>
      <c r="B144" s="99"/>
      <c r="C144" s="101"/>
      <c r="D144" s="16"/>
      <c r="E144" s="101"/>
      <c r="F144" s="5"/>
      <c r="G144" s="5"/>
      <c r="H144" s="141"/>
      <c r="I144" s="114"/>
      <c r="J144" s="101"/>
      <c r="K144" s="116"/>
      <c r="L144" s="118"/>
      <c r="M144" s="6">
        <f>6300-M143</f>
        <v>4050</v>
      </c>
      <c r="N144" s="21" t="s">
        <v>89</v>
      </c>
      <c r="O144" s="107"/>
      <c r="P144" s="5" t="s">
        <v>202</v>
      </c>
      <c r="Q144" s="112"/>
      <c r="R144" s="5"/>
      <c r="S144" s="5" t="s">
        <v>159</v>
      </c>
    </row>
    <row r="145" spans="1:20" x14ac:dyDescent="0.25">
      <c r="A145" s="4" t="s">
        <v>3</v>
      </c>
      <c r="B145" s="35" t="s">
        <v>68</v>
      </c>
      <c r="C145" s="35" t="s">
        <v>75</v>
      </c>
      <c r="D145" s="15"/>
      <c r="E145" s="5">
        <v>3.2</v>
      </c>
      <c r="F145" s="5">
        <f>G123</f>
        <v>22.020000000000007</v>
      </c>
      <c r="G145" s="5">
        <f>F145-E145</f>
        <v>18.820000000000007</v>
      </c>
      <c r="H145" s="141"/>
      <c r="I145" s="108" t="s">
        <v>60</v>
      </c>
      <c r="J145" s="109"/>
      <c r="K145" s="109"/>
      <c r="L145" s="109"/>
      <c r="M145" s="109"/>
      <c r="N145" s="109"/>
      <c r="O145" s="109"/>
      <c r="P145" s="109"/>
      <c r="Q145" s="110"/>
      <c r="R145" s="5"/>
      <c r="S145" s="5"/>
    </row>
    <row r="146" spans="1:20" x14ac:dyDescent="0.25">
      <c r="A146" s="4" t="s">
        <v>67</v>
      </c>
      <c r="B146" s="35" t="s">
        <v>5</v>
      </c>
      <c r="C146" s="5" t="s">
        <v>16</v>
      </c>
      <c r="D146" s="15" t="s">
        <v>6</v>
      </c>
      <c r="E146" s="5">
        <v>22</v>
      </c>
      <c r="F146" s="5">
        <f>G124</f>
        <v>31.239999999999995</v>
      </c>
      <c r="G146" s="5">
        <f t="shared" ref="G146:G152" si="20">F146-E146</f>
        <v>9.2399999999999949</v>
      </c>
      <c r="H146" s="141"/>
      <c r="I146" s="5"/>
      <c r="J146" s="5" t="s">
        <v>56</v>
      </c>
      <c r="K146" s="45">
        <v>46041</v>
      </c>
      <c r="L146" s="5" t="s">
        <v>79</v>
      </c>
      <c r="M146" s="5">
        <v>50</v>
      </c>
      <c r="N146" s="42" t="s">
        <v>49</v>
      </c>
      <c r="O146" s="5" t="s">
        <v>80</v>
      </c>
      <c r="P146" s="5" t="s">
        <v>50</v>
      </c>
      <c r="Q146" s="8">
        <v>46060</v>
      </c>
      <c r="R146" s="5"/>
      <c r="S146" s="5" t="s">
        <v>160</v>
      </c>
    </row>
    <row r="147" spans="1:20" x14ac:dyDescent="0.25">
      <c r="A147" s="4" t="s">
        <v>17</v>
      </c>
      <c r="B147" s="35" t="s">
        <v>37</v>
      </c>
      <c r="C147" s="5" t="s">
        <v>38</v>
      </c>
      <c r="D147" s="15" t="s">
        <v>39</v>
      </c>
      <c r="E147" s="5">
        <v>2050</v>
      </c>
      <c r="F147" s="5">
        <f>G125+M147</f>
        <v>-741</v>
      </c>
      <c r="G147" s="5">
        <f t="shared" si="20"/>
        <v>-2791</v>
      </c>
      <c r="H147" s="141"/>
      <c r="I147" s="59">
        <v>46087</v>
      </c>
      <c r="J147" s="27" t="s">
        <v>56</v>
      </c>
      <c r="K147" s="68">
        <v>46091</v>
      </c>
      <c r="L147" s="35" t="s">
        <v>190</v>
      </c>
      <c r="M147" s="5">
        <v>2090</v>
      </c>
      <c r="N147" s="5" t="s">
        <v>89</v>
      </c>
      <c r="O147" s="5"/>
      <c r="P147" s="5" t="s">
        <v>200</v>
      </c>
      <c r="Q147" s="52">
        <v>46113</v>
      </c>
      <c r="R147" s="8"/>
      <c r="S147" s="5"/>
      <c r="T147" t="s">
        <v>205</v>
      </c>
    </row>
    <row r="148" spans="1:20" x14ac:dyDescent="0.25">
      <c r="A148" s="4" t="s">
        <v>30</v>
      </c>
      <c r="B148" s="35" t="s">
        <v>75</v>
      </c>
      <c r="C148" s="5"/>
      <c r="D148" s="14"/>
      <c r="E148" s="5">
        <v>50</v>
      </c>
      <c r="F148" s="5">
        <f>G126</f>
        <v>72.5</v>
      </c>
      <c r="G148" s="5">
        <f t="shared" si="20"/>
        <v>22.5</v>
      </c>
      <c r="H148" s="141"/>
      <c r="I148" s="108" t="s">
        <v>60</v>
      </c>
      <c r="J148" s="109"/>
      <c r="K148" s="109"/>
      <c r="L148" s="109"/>
      <c r="M148" s="109"/>
      <c r="N148" s="109"/>
      <c r="O148" s="109"/>
      <c r="P148" s="109"/>
      <c r="Q148" s="110"/>
      <c r="R148" s="5"/>
      <c r="S148" s="5"/>
    </row>
    <row r="149" spans="1:20" x14ac:dyDescent="0.25">
      <c r="A149" s="4" t="s">
        <v>61</v>
      </c>
      <c r="B149" s="35" t="s">
        <v>62</v>
      </c>
      <c r="C149" s="41"/>
      <c r="D149" s="14"/>
      <c r="E149" s="5">
        <v>2000</v>
      </c>
      <c r="F149" s="5">
        <f>G106+2000</f>
        <v>3000</v>
      </c>
      <c r="G149" s="5">
        <f t="shared" si="20"/>
        <v>1000</v>
      </c>
      <c r="H149" s="141"/>
      <c r="I149" s="108" t="s">
        <v>60</v>
      </c>
      <c r="J149" s="109"/>
      <c r="K149" s="109"/>
      <c r="L149" s="109"/>
      <c r="M149" s="109"/>
      <c r="N149" s="109"/>
      <c r="O149" s="109"/>
      <c r="P149" s="109"/>
      <c r="Q149" s="110"/>
      <c r="R149" s="5"/>
      <c r="S149" s="5"/>
    </row>
    <row r="150" spans="1:20" x14ac:dyDescent="0.25">
      <c r="A150" s="4" t="s">
        <v>108</v>
      </c>
      <c r="B150" s="37" t="s">
        <v>111</v>
      </c>
      <c r="C150" s="5"/>
      <c r="D150" s="14"/>
      <c r="E150" s="5">
        <v>4000</v>
      </c>
      <c r="F150" s="5">
        <f>G107</f>
        <v>3080</v>
      </c>
      <c r="G150" s="5">
        <f t="shared" si="20"/>
        <v>-920</v>
      </c>
      <c r="H150" s="141"/>
      <c r="I150" s="18">
        <v>46034</v>
      </c>
      <c r="J150" s="5" t="s">
        <v>57</v>
      </c>
      <c r="K150" s="45">
        <v>46058</v>
      </c>
      <c r="L150" s="5" t="s">
        <v>46</v>
      </c>
      <c r="M150" s="5"/>
      <c r="N150" s="5"/>
      <c r="O150" s="5"/>
      <c r="P150" s="5"/>
      <c r="Q150" s="5" t="s">
        <v>188</v>
      </c>
      <c r="R150" s="5"/>
      <c r="S150" s="5"/>
    </row>
    <row r="151" spans="1:20" x14ac:dyDescent="0.25">
      <c r="A151" s="4" t="s">
        <v>65</v>
      </c>
      <c r="B151" s="35" t="s">
        <v>66</v>
      </c>
      <c r="C151" s="5"/>
      <c r="D151" s="14"/>
      <c r="E151" s="5">
        <v>95</v>
      </c>
      <c r="F151" s="5">
        <f>G129</f>
        <v>11.480000000000032</v>
      </c>
      <c r="G151" s="5">
        <f t="shared" si="20"/>
        <v>-83.519999999999968</v>
      </c>
      <c r="H151" s="141"/>
      <c r="I151" s="18">
        <v>45999</v>
      </c>
      <c r="J151" s="5" t="s">
        <v>71</v>
      </c>
      <c r="K151" s="30"/>
      <c r="L151" s="5" t="s">
        <v>69</v>
      </c>
      <c r="M151" s="5"/>
      <c r="N151" s="5" t="s">
        <v>75</v>
      </c>
      <c r="O151" s="5" t="s">
        <v>75</v>
      </c>
      <c r="P151" s="5"/>
      <c r="Q151" s="5"/>
      <c r="R151" s="5"/>
      <c r="S151" s="5"/>
    </row>
    <row r="152" spans="1:20" x14ac:dyDescent="0.25">
      <c r="A152" s="4" t="s">
        <v>72</v>
      </c>
      <c r="B152" s="35" t="s">
        <v>43</v>
      </c>
      <c r="C152" s="5"/>
      <c r="D152" s="14"/>
      <c r="E152" s="5">
        <v>67</v>
      </c>
      <c r="F152" s="5">
        <v>0</v>
      </c>
      <c r="G152" s="5">
        <f t="shared" si="20"/>
        <v>-67</v>
      </c>
      <c r="H152" s="141"/>
      <c r="I152" s="77">
        <v>46091</v>
      </c>
      <c r="J152" s="5" t="s">
        <v>187</v>
      </c>
      <c r="K152" s="57">
        <v>46094</v>
      </c>
      <c r="L152" s="30" t="s">
        <v>53</v>
      </c>
      <c r="M152" s="5"/>
      <c r="N152" s="5" t="s">
        <v>75</v>
      </c>
      <c r="O152" s="5" t="s">
        <v>75</v>
      </c>
      <c r="P152" s="5"/>
      <c r="Q152" s="5"/>
      <c r="R152" s="5"/>
      <c r="S152" s="5"/>
    </row>
    <row r="153" spans="1:20" x14ac:dyDescent="0.25">
      <c r="A153" s="4"/>
      <c r="H153" s="19"/>
    </row>
    <row r="154" spans="1:20" x14ac:dyDescent="0.25">
      <c r="A154" s="66" t="s">
        <v>22</v>
      </c>
      <c r="C154" s="2" t="s">
        <v>138</v>
      </c>
    </row>
    <row r="155" spans="1:20" s="11" customFormat="1" ht="30" x14ac:dyDescent="0.25">
      <c r="A155" s="9" t="s">
        <v>42</v>
      </c>
      <c r="B155" s="34" t="s">
        <v>2</v>
      </c>
      <c r="C155" s="9" t="s">
        <v>13</v>
      </c>
      <c r="D155" s="13" t="s">
        <v>14</v>
      </c>
      <c r="E155" s="9" t="s">
        <v>4</v>
      </c>
      <c r="F155" s="10" t="s">
        <v>94</v>
      </c>
      <c r="G155" s="10" t="s">
        <v>103</v>
      </c>
      <c r="H155" s="9" t="s">
        <v>34</v>
      </c>
      <c r="I155" s="9" t="s">
        <v>11</v>
      </c>
      <c r="J155" s="10" t="s">
        <v>58</v>
      </c>
      <c r="K155" s="10" t="s">
        <v>177</v>
      </c>
      <c r="L155" s="9" t="s">
        <v>8</v>
      </c>
      <c r="M155" s="9" t="s">
        <v>7</v>
      </c>
      <c r="N155" s="9" t="s">
        <v>31</v>
      </c>
      <c r="O155" s="9" t="s">
        <v>32</v>
      </c>
      <c r="P155" s="9" t="s">
        <v>29</v>
      </c>
      <c r="Q155" s="9" t="s">
        <v>33</v>
      </c>
      <c r="R155" s="9" t="s">
        <v>26</v>
      </c>
      <c r="S155" s="9" t="s">
        <v>27</v>
      </c>
    </row>
    <row r="156" spans="1:20" x14ac:dyDescent="0.25">
      <c r="A156" s="4" t="s">
        <v>0</v>
      </c>
      <c r="B156" s="35" t="s">
        <v>45</v>
      </c>
      <c r="C156" s="5"/>
      <c r="D156" s="14"/>
      <c r="E156" s="5">
        <v>15000</v>
      </c>
      <c r="F156" s="5">
        <f>G134</f>
        <v>28243</v>
      </c>
      <c r="G156" s="5">
        <f>F156-E156</f>
        <v>13243</v>
      </c>
      <c r="H156" s="119">
        <v>45982</v>
      </c>
      <c r="I156" s="108" t="s">
        <v>60</v>
      </c>
      <c r="J156" s="109"/>
      <c r="K156" s="109"/>
      <c r="L156" s="109"/>
      <c r="M156" s="109"/>
      <c r="N156" s="109"/>
      <c r="O156" s="109"/>
      <c r="P156" s="109"/>
      <c r="Q156" s="110"/>
      <c r="R156" s="5"/>
      <c r="S156" s="5"/>
    </row>
    <row r="157" spans="1:20" x14ac:dyDescent="0.25">
      <c r="A157" s="4" t="s">
        <v>131</v>
      </c>
      <c r="B157" s="35" t="s">
        <v>45</v>
      </c>
      <c r="C157" s="43"/>
      <c r="D157" s="44"/>
      <c r="E157" s="5">
        <f>2.05*1000</f>
        <v>2050</v>
      </c>
      <c r="F157" s="5">
        <f t="shared" ref="F157:F158" si="21">G135</f>
        <v>5409</v>
      </c>
      <c r="G157" s="5">
        <f>F157-E157</f>
        <v>3359</v>
      </c>
      <c r="H157" s="139"/>
      <c r="I157" s="108" t="s">
        <v>60</v>
      </c>
      <c r="J157" s="109"/>
      <c r="K157" s="109"/>
      <c r="L157" s="109"/>
      <c r="M157" s="109"/>
      <c r="N157" s="109"/>
      <c r="O157" s="109"/>
      <c r="P157" s="109"/>
      <c r="Q157" s="110"/>
      <c r="R157" s="5"/>
      <c r="S157" s="5"/>
    </row>
    <row r="158" spans="1:20" x14ac:dyDescent="0.25">
      <c r="A158" s="4" t="s">
        <v>129</v>
      </c>
      <c r="B158" s="35" t="s">
        <v>45</v>
      </c>
      <c r="C158" s="43"/>
      <c r="D158" s="44"/>
      <c r="E158" s="5">
        <f>2.05*1000</f>
        <v>2050</v>
      </c>
      <c r="F158" s="5">
        <f t="shared" si="21"/>
        <v>1429</v>
      </c>
      <c r="G158" s="5">
        <f t="shared" ref="G158:G159" si="22">F158-E158</f>
        <v>-621</v>
      </c>
      <c r="H158" s="139"/>
      <c r="I158" s="48">
        <v>46094</v>
      </c>
      <c r="J158" s="5" t="s">
        <v>169</v>
      </c>
      <c r="K158" s="5" t="s">
        <v>170</v>
      </c>
      <c r="L158" s="26" t="s">
        <v>206</v>
      </c>
      <c r="M158" s="5">
        <v>8500</v>
      </c>
      <c r="N158" s="5" t="s">
        <v>49</v>
      </c>
      <c r="O158" s="5"/>
      <c r="P158" s="5"/>
      <c r="Q158" s="5"/>
      <c r="R158" s="5"/>
      <c r="S158" s="5"/>
      <c r="T158">
        <f>F158/2</f>
        <v>714.5</v>
      </c>
    </row>
    <row r="159" spans="1:20" x14ac:dyDescent="0.25">
      <c r="A159" s="4" t="s">
        <v>130</v>
      </c>
      <c r="B159" s="35" t="s">
        <v>45</v>
      </c>
      <c r="C159" s="43"/>
      <c r="D159" s="44"/>
      <c r="E159" s="5">
        <v>1000</v>
      </c>
      <c r="F159" s="5">
        <f>G137</f>
        <v>2348</v>
      </c>
      <c r="G159" s="5">
        <f t="shared" si="22"/>
        <v>1348</v>
      </c>
      <c r="H159" s="139"/>
      <c r="I159" s="108" t="s">
        <v>60</v>
      </c>
      <c r="J159" s="109"/>
      <c r="K159" s="109"/>
      <c r="L159" s="109"/>
      <c r="M159" s="109"/>
      <c r="N159" s="109"/>
      <c r="O159" s="109"/>
      <c r="P159" s="109"/>
      <c r="Q159" s="110"/>
      <c r="R159" s="5"/>
      <c r="S159" s="5"/>
    </row>
    <row r="160" spans="1:20" x14ac:dyDescent="0.25">
      <c r="A160" s="4" t="s">
        <v>105</v>
      </c>
      <c r="B160" s="98" t="s">
        <v>35</v>
      </c>
      <c r="C160" s="100" t="s">
        <v>12</v>
      </c>
      <c r="D160" s="102" t="s">
        <v>15</v>
      </c>
      <c r="E160" s="5">
        <v>1000</v>
      </c>
      <c r="F160" s="5">
        <f>G117</f>
        <v>-440</v>
      </c>
      <c r="G160" s="5">
        <f t="shared" ref="G160:G174" si="23">F160-E160</f>
        <v>-1440</v>
      </c>
      <c r="H160" s="139"/>
      <c r="I160" s="51">
        <v>46087</v>
      </c>
      <c r="J160" s="56" t="s">
        <v>56</v>
      </c>
      <c r="K160" s="51">
        <v>46087</v>
      </c>
      <c r="L160" s="98" t="s">
        <v>142</v>
      </c>
      <c r="M160" s="5"/>
      <c r="N160" s="5"/>
      <c r="O160" s="5"/>
      <c r="P160" s="5"/>
      <c r="Q160" s="5"/>
      <c r="R160" s="5"/>
      <c r="S160" s="5"/>
    </row>
    <row r="161" spans="1:19" x14ac:dyDescent="0.25">
      <c r="A161" s="4" t="s">
        <v>59</v>
      </c>
      <c r="B161" s="105"/>
      <c r="C161" s="104"/>
      <c r="D161" s="103"/>
      <c r="E161" s="5">
        <v>118</v>
      </c>
      <c r="F161" s="5">
        <f>G118</f>
        <v>532.52</v>
      </c>
      <c r="G161" s="5">
        <f t="shared" si="23"/>
        <v>414.52</v>
      </c>
      <c r="H161" s="139"/>
      <c r="I161" s="51">
        <v>46087</v>
      </c>
      <c r="J161" s="56" t="s">
        <v>56</v>
      </c>
      <c r="K161" s="51">
        <v>46087</v>
      </c>
      <c r="L161" s="99"/>
      <c r="M161" s="5"/>
      <c r="N161" s="5"/>
      <c r="O161" s="5"/>
      <c r="P161" s="5"/>
      <c r="Q161" s="5"/>
      <c r="R161" s="5"/>
      <c r="S161" s="5"/>
    </row>
    <row r="162" spans="1:19" x14ac:dyDescent="0.25">
      <c r="A162" s="4" t="s">
        <v>175</v>
      </c>
      <c r="B162" s="99"/>
      <c r="C162" s="101"/>
      <c r="D162" s="29"/>
      <c r="E162" s="5">
        <f>(0.38*0.935)*1000</f>
        <v>355.3</v>
      </c>
      <c r="F162" s="5">
        <v>304</v>
      </c>
      <c r="G162" s="5">
        <f t="shared" si="23"/>
        <v>-51.300000000000011</v>
      </c>
      <c r="H162" s="139"/>
      <c r="I162" s="47">
        <v>46087</v>
      </c>
      <c r="J162" s="7" t="s">
        <v>56</v>
      </c>
      <c r="K162" s="68">
        <v>46091</v>
      </c>
      <c r="L162" s="35" t="s">
        <v>174</v>
      </c>
      <c r="M162" s="5"/>
      <c r="N162" s="43"/>
      <c r="O162" s="43"/>
      <c r="P162" s="5"/>
      <c r="Q162" s="43"/>
      <c r="R162" s="5"/>
      <c r="S162" s="5"/>
    </row>
    <row r="163" spans="1:19" x14ac:dyDescent="0.25">
      <c r="A163" s="4" t="s">
        <v>47</v>
      </c>
      <c r="B163" s="98" t="s">
        <v>36</v>
      </c>
      <c r="C163" s="100" t="s">
        <v>41</v>
      </c>
      <c r="D163" s="146" t="s">
        <v>40</v>
      </c>
      <c r="E163" s="5">
        <v>703</v>
      </c>
      <c r="F163" s="5">
        <f>G141</f>
        <v>-1412.7</v>
      </c>
      <c r="G163" s="5">
        <f t="shared" si="23"/>
        <v>-2115.6999999999998</v>
      </c>
      <c r="H163" s="139"/>
      <c r="I163" s="119">
        <v>46051</v>
      </c>
      <c r="J163" s="100" t="s">
        <v>56</v>
      </c>
      <c r="K163" s="115">
        <v>46056</v>
      </c>
      <c r="L163" s="100" t="s">
        <v>52</v>
      </c>
      <c r="M163" s="5">
        <v>2850</v>
      </c>
      <c r="N163" s="100" t="s">
        <v>89</v>
      </c>
      <c r="O163" s="106" t="s">
        <v>91</v>
      </c>
      <c r="P163" s="5" t="s">
        <v>54</v>
      </c>
      <c r="Q163" s="111">
        <v>46106</v>
      </c>
      <c r="R163" s="8">
        <v>46125</v>
      </c>
      <c r="S163" s="8" t="s">
        <v>162</v>
      </c>
    </row>
    <row r="164" spans="1:19" x14ac:dyDescent="0.25">
      <c r="A164" s="4" t="s">
        <v>48</v>
      </c>
      <c r="B164" s="99"/>
      <c r="C164" s="101"/>
      <c r="D164" s="147"/>
      <c r="E164" s="5">
        <v>1054.5</v>
      </c>
      <c r="F164" s="5">
        <f>G142</f>
        <v>-2194.8000000000002</v>
      </c>
      <c r="G164" s="5">
        <f t="shared" si="23"/>
        <v>-3249.3</v>
      </c>
      <c r="H164" s="139"/>
      <c r="I164" s="101"/>
      <c r="J164" s="101"/>
      <c r="K164" s="116"/>
      <c r="L164" s="101"/>
      <c r="M164" s="6">
        <v>3750</v>
      </c>
      <c r="N164" s="101"/>
      <c r="O164" s="107"/>
      <c r="P164" s="5" t="s">
        <v>54</v>
      </c>
      <c r="Q164" s="112"/>
      <c r="R164" s="5"/>
      <c r="S164" s="5"/>
    </row>
    <row r="165" spans="1:19" x14ac:dyDescent="0.25">
      <c r="A165" s="4" t="s">
        <v>47</v>
      </c>
      <c r="B165" s="98" t="s">
        <v>93</v>
      </c>
      <c r="C165" s="100" t="s">
        <v>88</v>
      </c>
      <c r="D165" s="16"/>
      <c r="E165" s="100">
        <f>E164+E163</f>
        <v>1757.5</v>
      </c>
      <c r="F165" s="5"/>
      <c r="G165" s="5"/>
      <c r="H165" s="139"/>
      <c r="I165" s="113">
        <v>46062</v>
      </c>
      <c r="J165" s="100" t="s">
        <v>56</v>
      </c>
      <c r="K165" s="115">
        <v>46064</v>
      </c>
      <c r="L165" s="117" t="s">
        <v>90</v>
      </c>
      <c r="M165" s="5">
        <v>2250</v>
      </c>
      <c r="N165" s="21" t="s">
        <v>49</v>
      </c>
      <c r="O165" s="106" t="s">
        <v>81</v>
      </c>
      <c r="P165" s="5" t="s">
        <v>54</v>
      </c>
      <c r="Q165" s="24">
        <v>46086</v>
      </c>
      <c r="R165" s="5"/>
      <c r="S165" s="5"/>
    </row>
    <row r="166" spans="1:19" x14ac:dyDescent="0.25">
      <c r="A166" s="4" t="s">
        <v>48</v>
      </c>
      <c r="B166" s="99"/>
      <c r="C166" s="101"/>
      <c r="D166" s="16"/>
      <c r="E166" s="101"/>
      <c r="F166" s="5"/>
      <c r="G166" s="5"/>
      <c r="H166" s="139"/>
      <c r="I166" s="114"/>
      <c r="J166" s="101"/>
      <c r="K166" s="116"/>
      <c r="L166" s="118"/>
      <c r="M166" s="6">
        <f>6300-M165</f>
        <v>4050</v>
      </c>
      <c r="N166" s="21" t="s">
        <v>89</v>
      </c>
      <c r="O166" s="107"/>
      <c r="P166" s="5" t="s">
        <v>54</v>
      </c>
      <c r="Q166" s="24">
        <v>46106</v>
      </c>
      <c r="R166" s="5"/>
      <c r="S166" s="5"/>
    </row>
    <row r="167" spans="1:19" x14ac:dyDescent="0.25">
      <c r="A167" s="4" t="s">
        <v>3</v>
      </c>
      <c r="B167" s="98" t="s">
        <v>176</v>
      </c>
      <c r="C167" s="100"/>
      <c r="D167" s="100"/>
      <c r="E167" s="5">
        <v>2</v>
      </c>
      <c r="F167" s="5">
        <f>G145</f>
        <v>18.820000000000007</v>
      </c>
      <c r="G167" s="5">
        <f t="shared" si="23"/>
        <v>16.820000000000007</v>
      </c>
      <c r="H167" s="139"/>
      <c r="I167" s="68">
        <v>46087</v>
      </c>
      <c r="J167" s="7" t="s">
        <v>172</v>
      </c>
      <c r="K167" s="68">
        <v>46091</v>
      </c>
      <c r="L167" s="35" t="s">
        <v>151</v>
      </c>
      <c r="M167" s="5">
        <v>40</v>
      </c>
      <c r="N167" s="21" t="s">
        <v>89</v>
      </c>
      <c r="O167" s="5"/>
      <c r="P167" s="5"/>
      <c r="Q167" s="5"/>
      <c r="R167" s="5"/>
      <c r="S167" s="5"/>
    </row>
    <row r="168" spans="1:19" x14ac:dyDescent="0.25">
      <c r="A168" s="4" t="s">
        <v>67</v>
      </c>
      <c r="B168" s="99"/>
      <c r="C168" s="101"/>
      <c r="D168" s="101"/>
      <c r="E168" s="5">
        <v>25</v>
      </c>
      <c r="F168" s="5">
        <f>G146</f>
        <v>9.2399999999999949</v>
      </c>
      <c r="G168" s="5">
        <f t="shared" si="23"/>
        <v>-15.760000000000005</v>
      </c>
      <c r="H168" s="139"/>
      <c r="I168" s="68">
        <v>46087</v>
      </c>
      <c r="J168" s="7" t="s">
        <v>172</v>
      </c>
      <c r="K168" s="68">
        <v>46091</v>
      </c>
      <c r="L168" s="35" t="s">
        <v>151</v>
      </c>
      <c r="M168" s="5">
        <v>281</v>
      </c>
      <c r="N168" s="21" t="s">
        <v>89</v>
      </c>
      <c r="O168" s="5"/>
      <c r="P168" s="5"/>
      <c r="Q168" s="5"/>
      <c r="R168" s="5"/>
      <c r="S168" s="5"/>
    </row>
    <row r="169" spans="1:19" x14ac:dyDescent="0.25">
      <c r="A169" s="4" t="s">
        <v>17</v>
      </c>
      <c r="B169" s="35" t="s">
        <v>37</v>
      </c>
      <c r="C169" s="5" t="s">
        <v>38</v>
      </c>
      <c r="D169" s="15" t="s">
        <v>39</v>
      </c>
      <c r="E169" s="5">
        <v>1025</v>
      </c>
      <c r="F169" s="5">
        <f>G147</f>
        <v>-2791</v>
      </c>
      <c r="G169" s="5">
        <f t="shared" si="23"/>
        <v>-3816</v>
      </c>
      <c r="H169" s="139"/>
      <c r="I169" s="59">
        <v>46087</v>
      </c>
      <c r="J169" s="27" t="s">
        <v>56</v>
      </c>
      <c r="K169" s="47">
        <v>46108</v>
      </c>
      <c r="L169" s="35" t="s">
        <v>191</v>
      </c>
      <c r="M169" s="5"/>
      <c r="N169" s="5"/>
      <c r="O169" s="5"/>
      <c r="P169" s="5"/>
      <c r="Q169" s="8">
        <v>46120</v>
      </c>
      <c r="R169" s="5"/>
      <c r="S169" s="5"/>
    </row>
    <row r="170" spans="1:19" x14ac:dyDescent="0.25">
      <c r="A170" s="4" t="s">
        <v>30</v>
      </c>
      <c r="B170" s="35"/>
      <c r="C170" s="5"/>
      <c r="D170" s="14"/>
      <c r="E170" s="5">
        <v>25</v>
      </c>
      <c r="F170" s="5">
        <f>G148</f>
        <v>22.5</v>
      </c>
      <c r="G170" s="5">
        <f t="shared" si="23"/>
        <v>-2.5</v>
      </c>
      <c r="H170" s="139"/>
      <c r="I170" s="59">
        <v>46097</v>
      </c>
      <c r="J170" s="7" t="s">
        <v>156</v>
      </c>
      <c r="K170" s="47">
        <v>46107</v>
      </c>
      <c r="L170" s="26" t="s">
        <v>120</v>
      </c>
      <c r="M170" s="5"/>
      <c r="N170" s="5"/>
      <c r="O170" s="5"/>
      <c r="P170" s="5"/>
      <c r="Q170" s="5"/>
      <c r="R170" s="5"/>
      <c r="S170" s="5"/>
    </row>
    <row r="171" spans="1:19" x14ac:dyDescent="0.25">
      <c r="A171" s="4" t="s">
        <v>110</v>
      </c>
      <c r="B171" s="98" t="s">
        <v>111</v>
      </c>
      <c r="C171" s="100" t="s">
        <v>63</v>
      </c>
      <c r="D171" s="14"/>
      <c r="E171" s="5">
        <v>1000</v>
      </c>
      <c r="F171" s="5">
        <f>G149</f>
        <v>1000</v>
      </c>
      <c r="G171" s="5">
        <f t="shared" si="23"/>
        <v>0</v>
      </c>
      <c r="H171" s="139"/>
      <c r="I171" s="59">
        <v>46087</v>
      </c>
      <c r="J171" s="7" t="s">
        <v>56</v>
      </c>
      <c r="K171" s="68">
        <v>46091</v>
      </c>
      <c r="L171" s="35" t="s">
        <v>153</v>
      </c>
      <c r="M171" s="5">
        <v>2100</v>
      </c>
      <c r="N171" s="5"/>
      <c r="O171" s="5"/>
      <c r="P171" s="5"/>
      <c r="Q171" s="5" t="s">
        <v>188</v>
      </c>
      <c r="R171" s="5"/>
      <c r="S171" s="5"/>
    </row>
    <row r="172" spans="1:19" x14ac:dyDescent="0.25">
      <c r="A172" s="4" t="s">
        <v>109</v>
      </c>
      <c r="B172" s="99"/>
      <c r="C172" s="101"/>
      <c r="D172" s="14"/>
      <c r="E172" s="5">
        <v>1000</v>
      </c>
      <c r="F172" s="5">
        <f>G128</f>
        <v>-720</v>
      </c>
      <c r="G172" s="5">
        <f t="shared" si="23"/>
        <v>-1720</v>
      </c>
      <c r="H172" s="139"/>
      <c r="I172" s="59">
        <v>46087</v>
      </c>
      <c r="J172" s="7" t="s">
        <v>56</v>
      </c>
      <c r="K172" s="68">
        <v>46091</v>
      </c>
      <c r="L172" s="35" t="s">
        <v>153</v>
      </c>
      <c r="M172" s="5"/>
      <c r="N172" s="5"/>
      <c r="O172" s="5"/>
      <c r="P172" s="5"/>
      <c r="Q172" s="5" t="s">
        <v>188</v>
      </c>
      <c r="R172" s="5"/>
      <c r="S172" s="5"/>
    </row>
    <row r="173" spans="1:19" x14ac:dyDescent="0.25">
      <c r="A173" s="4" t="s">
        <v>65</v>
      </c>
      <c r="B173" s="35" t="s">
        <v>66</v>
      </c>
      <c r="C173" s="5"/>
      <c r="D173" s="14"/>
      <c r="E173" s="5">
        <v>95</v>
      </c>
      <c r="F173" s="5">
        <f>G151</f>
        <v>-83.519999999999968</v>
      </c>
      <c r="G173" s="5">
        <f t="shared" si="23"/>
        <v>-178.51999999999998</v>
      </c>
      <c r="H173" s="139"/>
      <c r="I173" s="59">
        <v>46107</v>
      </c>
      <c r="J173" s="7" t="s">
        <v>156</v>
      </c>
      <c r="K173" s="47">
        <v>46112</v>
      </c>
      <c r="L173" s="26" t="s">
        <v>120</v>
      </c>
      <c r="M173" s="5"/>
      <c r="N173" s="5"/>
      <c r="O173" s="5"/>
      <c r="P173" s="5"/>
      <c r="Q173" s="5"/>
      <c r="R173" s="5"/>
      <c r="S173" s="5"/>
    </row>
    <row r="174" spans="1:19" x14ac:dyDescent="0.25">
      <c r="A174" s="4" t="s">
        <v>72</v>
      </c>
      <c r="B174" s="35" t="s">
        <v>43</v>
      </c>
      <c r="C174" s="5"/>
      <c r="D174" s="14"/>
      <c r="E174" s="5">
        <v>34</v>
      </c>
      <c r="F174" s="5">
        <f>G130</f>
        <v>-34</v>
      </c>
      <c r="G174" s="5">
        <f t="shared" si="23"/>
        <v>-68</v>
      </c>
      <c r="H174" s="140"/>
      <c r="I174" s="59">
        <v>46107</v>
      </c>
      <c r="J174" s="7" t="s">
        <v>156</v>
      </c>
      <c r="K174" s="47">
        <v>46112</v>
      </c>
      <c r="L174" s="26" t="s">
        <v>120</v>
      </c>
      <c r="M174" s="5"/>
      <c r="N174" s="5"/>
      <c r="O174" s="5"/>
      <c r="P174" s="5"/>
      <c r="Q174" s="5"/>
      <c r="R174" s="5"/>
      <c r="S174" s="5"/>
    </row>
    <row r="176" spans="1:19" x14ac:dyDescent="0.25">
      <c r="A176" s="1" t="s">
        <v>23</v>
      </c>
      <c r="C176" s="2" t="s">
        <v>139</v>
      </c>
    </row>
    <row r="177" spans="1:19" s="11" customFormat="1" ht="30" x14ac:dyDescent="0.25">
      <c r="A177" s="9" t="s">
        <v>42</v>
      </c>
      <c r="B177" s="34" t="s">
        <v>2</v>
      </c>
      <c r="C177" s="9" t="s">
        <v>13</v>
      </c>
      <c r="D177" s="13" t="s">
        <v>14</v>
      </c>
      <c r="E177" s="9" t="s">
        <v>4</v>
      </c>
      <c r="F177" s="10" t="s">
        <v>94</v>
      </c>
      <c r="G177" s="10" t="s">
        <v>103</v>
      </c>
      <c r="H177" s="9" t="s">
        <v>34</v>
      </c>
      <c r="I177" s="9" t="s">
        <v>11</v>
      </c>
      <c r="J177" s="10" t="s">
        <v>58</v>
      </c>
      <c r="K177" s="10" t="s">
        <v>177</v>
      </c>
      <c r="L177" s="9" t="s">
        <v>8</v>
      </c>
      <c r="M177" s="9" t="s">
        <v>7</v>
      </c>
      <c r="N177" s="9" t="s">
        <v>31</v>
      </c>
      <c r="O177" s="9" t="s">
        <v>32</v>
      </c>
      <c r="P177" s="9" t="s">
        <v>29</v>
      </c>
      <c r="Q177" s="9" t="s">
        <v>33</v>
      </c>
      <c r="R177" s="9" t="s">
        <v>26</v>
      </c>
      <c r="S177" s="9" t="s">
        <v>27</v>
      </c>
    </row>
    <row r="178" spans="1:19" x14ac:dyDescent="0.25">
      <c r="A178" s="4" t="s">
        <v>0</v>
      </c>
      <c r="B178" s="35" t="s">
        <v>45</v>
      </c>
      <c r="C178" s="5"/>
      <c r="D178" s="14"/>
      <c r="E178" s="5">
        <v>21334</v>
      </c>
      <c r="F178" s="5">
        <f>G156</f>
        <v>13243</v>
      </c>
      <c r="G178" s="5">
        <f>F178-E178</f>
        <v>-8091</v>
      </c>
      <c r="H178" s="141">
        <v>45993</v>
      </c>
      <c r="I178" s="48">
        <v>46094</v>
      </c>
      <c r="J178" s="5" t="s">
        <v>169</v>
      </c>
      <c r="K178" s="5" t="s">
        <v>170</v>
      </c>
      <c r="L178" s="26" t="s">
        <v>206</v>
      </c>
      <c r="M178" s="5">
        <v>100000</v>
      </c>
      <c r="N178" s="5" t="s">
        <v>89</v>
      </c>
      <c r="O178" s="5"/>
      <c r="P178" s="5"/>
      <c r="Q178" s="5"/>
      <c r="R178" s="5"/>
      <c r="S178" s="5"/>
    </row>
    <row r="179" spans="1:19" x14ac:dyDescent="0.25">
      <c r="A179" s="4" t="s">
        <v>131</v>
      </c>
      <c r="B179" s="35" t="s">
        <v>45</v>
      </c>
      <c r="C179" s="43"/>
      <c r="D179" s="44"/>
      <c r="E179" s="5">
        <f>2.05*2000</f>
        <v>4100</v>
      </c>
      <c r="F179" s="5">
        <f>G157</f>
        <v>3359</v>
      </c>
      <c r="G179" s="5">
        <f>F179-E179</f>
        <v>-741</v>
      </c>
      <c r="H179" s="141"/>
      <c r="I179" s="48">
        <v>46094</v>
      </c>
      <c r="J179" s="5" t="s">
        <v>169</v>
      </c>
      <c r="K179" s="5" t="s">
        <v>170</v>
      </c>
      <c r="L179" s="26" t="s">
        <v>206</v>
      </c>
      <c r="M179" s="5">
        <v>5000</v>
      </c>
      <c r="N179" s="5" t="s">
        <v>49</v>
      </c>
      <c r="O179" s="5"/>
      <c r="P179" s="5"/>
      <c r="Q179" s="5"/>
      <c r="R179" s="5"/>
      <c r="S179" s="5"/>
    </row>
    <row r="180" spans="1:19" x14ac:dyDescent="0.25">
      <c r="A180" s="4" t="s">
        <v>129</v>
      </c>
      <c r="B180" s="35" t="s">
        <v>45</v>
      </c>
      <c r="C180" s="43"/>
      <c r="D180" s="44"/>
      <c r="E180" s="5">
        <f>2.05*2000</f>
        <v>4100</v>
      </c>
      <c r="F180" s="5">
        <f>G158</f>
        <v>-621</v>
      </c>
      <c r="G180" s="5">
        <f t="shared" ref="G180:G181" si="24">F180-E180</f>
        <v>-4721</v>
      </c>
      <c r="H180" s="141"/>
      <c r="I180" s="48">
        <v>46094</v>
      </c>
      <c r="J180" s="5" t="s">
        <v>169</v>
      </c>
      <c r="K180" s="5" t="s">
        <v>170</v>
      </c>
      <c r="L180" s="26" t="s">
        <v>206</v>
      </c>
      <c r="M180" s="5">
        <v>8500</v>
      </c>
      <c r="N180" s="5" t="s">
        <v>49</v>
      </c>
      <c r="O180" s="5"/>
      <c r="P180" s="5"/>
      <c r="Q180" s="5"/>
      <c r="R180" s="5"/>
      <c r="S180" s="5"/>
    </row>
    <row r="181" spans="1:19" x14ac:dyDescent="0.25">
      <c r="A181" s="4" t="s">
        <v>130</v>
      </c>
      <c r="B181" s="35" t="s">
        <v>45</v>
      </c>
      <c r="C181" s="43"/>
      <c r="D181" s="44"/>
      <c r="E181" s="5">
        <v>2000</v>
      </c>
      <c r="F181" s="5">
        <f t="shared" ref="F181" si="25">G159</f>
        <v>1348</v>
      </c>
      <c r="G181" s="5">
        <f t="shared" si="24"/>
        <v>-652</v>
      </c>
      <c r="H181" s="141"/>
      <c r="I181" s="48">
        <v>46094</v>
      </c>
      <c r="J181" s="5" t="s">
        <v>169</v>
      </c>
      <c r="K181" s="5" t="s">
        <v>170</v>
      </c>
      <c r="L181" s="26" t="s">
        <v>206</v>
      </c>
      <c r="M181" s="5">
        <v>3000</v>
      </c>
      <c r="N181" s="5" t="s">
        <v>49</v>
      </c>
      <c r="O181" s="5"/>
      <c r="P181" s="5"/>
      <c r="Q181" s="5"/>
      <c r="R181" s="5"/>
      <c r="S181" s="5"/>
    </row>
    <row r="182" spans="1:19" ht="15" customHeight="1" x14ac:dyDescent="0.25">
      <c r="A182" s="151" t="s">
        <v>104</v>
      </c>
      <c r="B182" s="98" t="s">
        <v>35</v>
      </c>
      <c r="C182" s="100" t="s">
        <v>12</v>
      </c>
      <c r="D182" s="102" t="s">
        <v>15</v>
      </c>
      <c r="E182" s="100">
        <v>2000</v>
      </c>
      <c r="F182" s="100">
        <f>G138</f>
        <v>976</v>
      </c>
      <c r="G182" s="100">
        <f t="shared" ref="G182:G198" si="26">F182-E182</f>
        <v>-1024</v>
      </c>
      <c r="H182" s="141"/>
      <c r="I182" s="120">
        <v>46087</v>
      </c>
      <c r="J182" s="100" t="s">
        <v>56</v>
      </c>
      <c r="K182" s="123">
        <v>46092</v>
      </c>
      <c r="L182" s="126" t="s">
        <v>194</v>
      </c>
      <c r="M182" s="5">
        <v>2100</v>
      </c>
      <c r="N182" s="5" t="s">
        <v>49</v>
      </c>
      <c r="O182" s="5"/>
      <c r="P182" s="5"/>
      <c r="Q182" s="5"/>
      <c r="R182" s="5"/>
      <c r="S182" s="5"/>
    </row>
    <row r="183" spans="1:19" ht="15" customHeight="1" x14ac:dyDescent="0.25">
      <c r="A183" s="152"/>
      <c r="B183" s="105"/>
      <c r="C183" s="104"/>
      <c r="D183" s="148"/>
      <c r="E183" s="101"/>
      <c r="F183" s="101"/>
      <c r="G183" s="101"/>
      <c r="H183" s="141"/>
      <c r="I183" s="121"/>
      <c r="J183" s="104"/>
      <c r="K183" s="124"/>
      <c r="L183" s="105"/>
      <c r="M183" s="5">
        <v>2100</v>
      </c>
      <c r="N183" s="5" t="s">
        <v>89</v>
      </c>
      <c r="O183" s="5"/>
      <c r="P183" s="5"/>
      <c r="Q183" s="5"/>
      <c r="R183" s="5"/>
      <c r="S183" s="5"/>
    </row>
    <row r="184" spans="1:19" x14ac:dyDescent="0.25">
      <c r="A184" s="4" t="s">
        <v>73</v>
      </c>
      <c r="B184" s="105"/>
      <c r="C184" s="104"/>
      <c r="D184" s="148"/>
      <c r="E184" s="5">
        <v>86.48</v>
      </c>
      <c r="F184" s="5">
        <f>G139</f>
        <v>118.4199999999999</v>
      </c>
      <c r="G184" s="5">
        <f t="shared" si="26"/>
        <v>31.939999999999898</v>
      </c>
      <c r="H184" s="141"/>
      <c r="I184" s="121"/>
      <c r="J184" s="104"/>
      <c r="K184" s="124"/>
      <c r="L184" s="105"/>
      <c r="M184" s="5">
        <v>880</v>
      </c>
      <c r="N184" s="5" t="s">
        <v>89</v>
      </c>
      <c r="O184" s="5"/>
      <c r="P184" s="5"/>
      <c r="Q184" s="5"/>
      <c r="R184" s="5"/>
      <c r="S184" s="5"/>
    </row>
    <row r="185" spans="1:19" x14ac:dyDescent="0.25">
      <c r="A185" s="4" t="s">
        <v>59</v>
      </c>
      <c r="B185" s="99"/>
      <c r="C185" s="101"/>
      <c r="D185" s="103"/>
      <c r="E185" s="5">
        <v>76</v>
      </c>
      <c r="F185" s="5">
        <f>G161</f>
        <v>414.52</v>
      </c>
      <c r="G185" s="5">
        <f t="shared" si="26"/>
        <v>338.52</v>
      </c>
      <c r="H185" s="141"/>
      <c r="I185" s="122"/>
      <c r="J185" s="101"/>
      <c r="K185" s="125"/>
      <c r="L185" s="99"/>
      <c r="M185" s="5">
        <v>392</v>
      </c>
      <c r="N185" s="5" t="s">
        <v>89</v>
      </c>
      <c r="O185" s="5"/>
      <c r="P185" s="5"/>
      <c r="Q185" s="5"/>
      <c r="R185" s="5"/>
      <c r="S185" s="5"/>
    </row>
    <row r="186" spans="1:19" s="65" customFormat="1" ht="30" x14ac:dyDescent="0.25">
      <c r="A186" s="61" t="s">
        <v>184</v>
      </c>
      <c r="B186" s="50" t="s">
        <v>123</v>
      </c>
      <c r="C186" s="49"/>
      <c r="D186" s="29"/>
      <c r="E186" s="62">
        <f>((0.365*0.555)*5)*2000</f>
        <v>2025.75</v>
      </c>
      <c r="F186" s="7">
        <v>0</v>
      </c>
      <c r="G186" s="7">
        <f t="shared" si="26"/>
        <v>-2025.75</v>
      </c>
      <c r="H186" s="141"/>
      <c r="I186" s="59">
        <v>46051</v>
      </c>
      <c r="J186" s="7" t="s">
        <v>56</v>
      </c>
      <c r="K186" s="60" t="s">
        <v>186</v>
      </c>
      <c r="L186" s="63" t="s">
        <v>185</v>
      </c>
      <c r="M186" s="7">
        <v>6858</v>
      </c>
      <c r="N186" s="21" t="s">
        <v>89</v>
      </c>
      <c r="O186" s="7"/>
      <c r="P186" s="7"/>
      <c r="Q186" s="64"/>
      <c r="R186" s="7"/>
      <c r="S186" s="7"/>
    </row>
    <row r="187" spans="1:19" x14ac:dyDescent="0.25">
      <c r="A187" s="4" t="s">
        <v>47</v>
      </c>
      <c r="B187" s="98" t="s">
        <v>36</v>
      </c>
      <c r="C187" s="100" t="s">
        <v>41</v>
      </c>
      <c r="D187" s="146" t="s">
        <v>40</v>
      </c>
      <c r="E187" s="5">
        <v>0</v>
      </c>
      <c r="F187" s="5"/>
      <c r="G187" s="5"/>
      <c r="H187" s="141"/>
      <c r="I187" s="119">
        <v>46051</v>
      </c>
      <c r="J187" s="100" t="s">
        <v>56</v>
      </c>
      <c r="K187" s="115">
        <v>46056</v>
      </c>
      <c r="L187" s="100" t="s">
        <v>52</v>
      </c>
      <c r="M187" s="5">
        <v>2850</v>
      </c>
      <c r="N187" s="100" t="s">
        <v>89</v>
      </c>
      <c r="O187" s="106" t="s">
        <v>91</v>
      </c>
      <c r="P187" s="5" t="s">
        <v>54</v>
      </c>
      <c r="Q187" s="111">
        <v>46106</v>
      </c>
      <c r="R187" s="8">
        <v>46129</v>
      </c>
      <c r="S187" s="8" t="s">
        <v>163</v>
      </c>
    </row>
    <row r="188" spans="1:19" x14ac:dyDescent="0.25">
      <c r="A188" s="4" t="s">
        <v>48</v>
      </c>
      <c r="B188" s="99"/>
      <c r="C188" s="101"/>
      <c r="D188" s="147"/>
      <c r="E188" s="5">
        <v>0</v>
      </c>
      <c r="F188" s="5"/>
      <c r="G188" s="5"/>
      <c r="H188" s="141"/>
      <c r="I188" s="101"/>
      <c r="J188" s="101"/>
      <c r="K188" s="116"/>
      <c r="L188" s="101"/>
      <c r="M188" s="6">
        <v>3750</v>
      </c>
      <c r="N188" s="101"/>
      <c r="O188" s="107"/>
      <c r="P188" s="5" t="s">
        <v>54</v>
      </c>
      <c r="Q188" s="112"/>
      <c r="R188" s="5"/>
      <c r="S188" s="5"/>
    </row>
    <row r="189" spans="1:19" x14ac:dyDescent="0.25">
      <c r="A189" s="151" t="s">
        <v>106</v>
      </c>
      <c r="B189" s="98" t="s">
        <v>93</v>
      </c>
      <c r="C189" s="100" t="s">
        <v>88</v>
      </c>
      <c r="D189" s="16"/>
      <c r="E189" s="100">
        <f>E188+E187</f>
        <v>0</v>
      </c>
      <c r="F189" s="5"/>
      <c r="G189" s="5"/>
      <c r="H189" s="141"/>
      <c r="I189" s="113">
        <v>46062</v>
      </c>
      <c r="J189" s="100" t="s">
        <v>56</v>
      </c>
      <c r="K189" s="115">
        <v>46064</v>
      </c>
      <c r="L189" s="117" t="s">
        <v>90</v>
      </c>
      <c r="M189" s="5">
        <v>2250</v>
      </c>
      <c r="N189" s="21" t="s">
        <v>49</v>
      </c>
      <c r="O189" s="106" t="s">
        <v>81</v>
      </c>
      <c r="P189" s="5" t="s">
        <v>54</v>
      </c>
      <c r="Q189" s="24">
        <v>46086</v>
      </c>
      <c r="R189" s="5"/>
      <c r="S189" s="5"/>
    </row>
    <row r="190" spans="1:19" x14ac:dyDescent="0.25">
      <c r="A190" s="152"/>
      <c r="B190" s="99"/>
      <c r="C190" s="101"/>
      <c r="D190" s="16"/>
      <c r="E190" s="101"/>
      <c r="F190" s="5"/>
      <c r="G190" s="5"/>
      <c r="H190" s="141"/>
      <c r="I190" s="114"/>
      <c r="J190" s="101"/>
      <c r="K190" s="116"/>
      <c r="L190" s="118"/>
      <c r="M190" s="6">
        <f>6300-M189</f>
        <v>4050</v>
      </c>
      <c r="N190" s="21" t="s">
        <v>89</v>
      </c>
      <c r="O190" s="107"/>
      <c r="P190" s="5" t="s">
        <v>54</v>
      </c>
      <c r="Q190" s="24">
        <v>46106</v>
      </c>
      <c r="R190" s="5"/>
      <c r="S190" s="5"/>
    </row>
    <row r="191" spans="1:19" x14ac:dyDescent="0.25">
      <c r="A191" s="4" t="s">
        <v>3</v>
      </c>
      <c r="B191" s="98" t="s">
        <v>176</v>
      </c>
      <c r="C191" s="100"/>
      <c r="D191" s="100"/>
      <c r="E191" s="5">
        <v>3.2</v>
      </c>
      <c r="F191" s="5">
        <f>G167</f>
        <v>16.820000000000007</v>
      </c>
      <c r="G191" s="5">
        <f t="shared" si="26"/>
        <v>13.620000000000008</v>
      </c>
      <c r="H191" s="141"/>
      <c r="I191" s="59">
        <v>46087</v>
      </c>
      <c r="J191" s="7" t="s">
        <v>56</v>
      </c>
      <c r="K191" s="68">
        <v>46091</v>
      </c>
      <c r="L191" s="35" t="s">
        <v>151</v>
      </c>
      <c r="M191" s="5">
        <v>40</v>
      </c>
      <c r="N191" s="21" t="s">
        <v>89</v>
      </c>
      <c r="O191" s="5"/>
      <c r="P191" s="5"/>
      <c r="Q191" s="8"/>
      <c r="R191" s="5"/>
      <c r="S191" s="5"/>
    </row>
    <row r="192" spans="1:19" x14ac:dyDescent="0.25">
      <c r="A192" s="4" t="s">
        <v>67</v>
      </c>
      <c r="B192" s="99"/>
      <c r="C192" s="101"/>
      <c r="D192" s="101"/>
      <c r="E192" s="5">
        <v>22</v>
      </c>
      <c r="F192" s="5">
        <f>G168</f>
        <v>-15.760000000000005</v>
      </c>
      <c r="G192" s="5">
        <f t="shared" si="26"/>
        <v>-37.760000000000005</v>
      </c>
      <c r="H192" s="141"/>
      <c r="I192" s="59">
        <v>46087</v>
      </c>
      <c r="J192" s="7" t="s">
        <v>56</v>
      </c>
      <c r="K192" s="68">
        <v>46091</v>
      </c>
      <c r="L192" s="35" t="s">
        <v>151</v>
      </c>
      <c r="M192" s="5">
        <v>281</v>
      </c>
      <c r="N192" s="21" t="s">
        <v>89</v>
      </c>
      <c r="O192" s="5"/>
      <c r="P192" s="5"/>
      <c r="Q192" s="5"/>
      <c r="R192" s="5"/>
      <c r="S192" s="5"/>
    </row>
    <row r="193" spans="1:19" x14ac:dyDescent="0.25">
      <c r="A193" s="4" t="s">
        <v>17</v>
      </c>
      <c r="B193" s="35" t="s">
        <v>37</v>
      </c>
      <c r="C193" s="5" t="s">
        <v>38</v>
      </c>
      <c r="D193" s="15" t="s">
        <v>39</v>
      </c>
      <c r="E193" s="5">
        <v>2050</v>
      </c>
      <c r="F193" s="5">
        <f>G169</f>
        <v>-3816</v>
      </c>
      <c r="G193" s="5">
        <f t="shared" si="26"/>
        <v>-5866</v>
      </c>
      <c r="H193" s="141"/>
      <c r="I193" s="59">
        <v>46087</v>
      </c>
      <c r="J193" s="7" t="s">
        <v>56</v>
      </c>
      <c r="K193" s="47">
        <v>46112</v>
      </c>
      <c r="L193" s="30" t="s">
        <v>154</v>
      </c>
      <c r="M193" s="5">
        <v>4120</v>
      </c>
      <c r="N193" s="5"/>
      <c r="O193" s="5"/>
      <c r="P193" s="5"/>
      <c r="Q193" s="5"/>
      <c r="R193" s="5"/>
      <c r="S193" s="5"/>
    </row>
    <row r="194" spans="1:19" x14ac:dyDescent="0.25">
      <c r="A194" s="4" t="s">
        <v>30</v>
      </c>
      <c r="B194" s="35"/>
      <c r="C194" s="5"/>
      <c r="D194" s="14"/>
      <c r="E194" s="5">
        <v>50</v>
      </c>
      <c r="F194" s="5">
        <f>G170</f>
        <v>-2.5</v>
      </c>
      <c r="G194" s="5">
        <f t="shared" si="26"/>
        <v>-52.5</v>
      </c>
      <c r="H194" s="141"/>
      <c r="I194" s="59">
        <v>46115</v>
      </c>
      <c r="J194" s="7" t="s">
        <v>156</v>
      </c>
      <c r="K194" s="47">
        <v>46119</v>
      </c>
      <c r="L194" s="26" t="s">
        <v>120</v>
      </c>
      <c r="M194" s="5"/>
      <c r="N194" s="5"/>
      <c r="O194" s="5"/>
      <c r="P194" s="5"/>
      <c r="Q194" s="5"/>
      <c r="R194" s="5"/>
      <c r="S194" s="5"/>
    </row>
    <row r="195" spans="1:19" x14ac:dyDescent="0.25">
      <c r="A195" s="4" t="s">
        <v>61</v>
      </c>
      <c r="B195" s="35" t="s">
        <v>62</v>
      </c>
      <c r="C195" s="104"/>
      <c r="D195" s="14"/>
      <c r="E195" s="5">
        <v>2000</v>
      </c>
      <c r="F195" s="5">
        <f>G149</f>
        <v>1000</v>
      </c>
      <c r="G195" s="5">
        <f t="shared" si="26"/>
        <v>-1000</v>
      </c>
      <c r="H195" s="141"/>
      <c r="I195" s="59">
        <v>46115</v>
      </c>
      <c r="J195" s="7" t="s">
        <v>156</v>
      </c>
      <c r="K195" s="47">
        <v>46119</v>
      </c>
      <c r="L195" s="26" t="s">
        <v>120</v>
      </c>
      <c r="M195" s="5"/>
      <c r="N195" s="5"/>
      <c r="O195" s="5"/>
      <c r="P195" s="5"/>
      <c r="Q195" s="5"/>
      <c r="R195" s="5"/>
      <c r="S195" s="5"/>
    </row>
    <row r="196" spans="1:19" x14ac:dyDescent="0.25">
      <c r="A196" s="4" t="s">
        <v>108</v>
      </c>
      <c r="B196" s="37" t="s">
        <v>111</v>
      </c>
      <c r="C196" s="101"/>
      <c r="D196" s="14"/>
      <c r="E196" s="5">
        <v>4000</v>
      </c>
      <c r="F196" s="5">
        <f>G150</f>
        <v>-920</v>
      </c>
      <c r="G196" s="5">
        <f t="shared" si="26"/>
        <v>-4920</v>
      </c>
      <c r="H196" s="141"/>
      <c r="I196" s="77">
        <v>46034</v>
      </c>
      <c r="J196" s="5" t="s">
        <v>57</v>
      </c>
      <c r="K196" s="45">
        <v>46058</v>
      </c>
      <c r="L196" s="5" t="s">
        <v>107</v>
      </c>
      <c r="M196" s="5">
        <v>8000</v>
      </c>
      <c r="N196" s="5"/>
      <c r="O196" s="5"/>
      <c r="P196" s="5" t="s">
        <v>54</v>
      </c>
      <c r="Q196" s="5" t="s">
        <v>188</v>
      </c>
      <c r="R196" s="5"/>
      <c r="S196" s="5"/>
    </row>
    <row r="197" spans="1:19" x14ac:dyDescent="0.25">
      <c r="A197" s="4" t="s">
        <v>65</v>
      </c>
      <c r="B197" s="35" t="s">
        <v>66</v>
      </c>
      <c r="C197" s="5"/>
      <c r="D197" s="14"/>
      <c r="E197" s="5">
        <v>95</v>
      </c>
      <c r="F197" s="5">
        <f>G173</f>
        <v>-178.51999999999998</v>
      </c>
      <c r="G197" s="5">
        <f t="shared" si="26"/>
        <v>-273.52</v>
      </c>
      <c r="H197" s="141"/>
      <c r="I197" s="59">
        <v>46115</v>
      </c>
      <c r="J197" s="7" t="s">
        <v>156</v>
      </c>
      <c r="K197" s="47">
        <v>46119</v>
      </c>
      <c r="L197" s="26" t="s">
        <v>120</v>
      </c>
      <c r="M197" s="5"/>
      <c r="N197" s="5"/>
      <c r="O197" s="5"/>
      <c r="P197" s="5"/>
      <c r="Q197" s="5"/>
      <c r="R197" s="5"/>
      <c r="S197" s="5"/>
    </row>
    <row r="198" spans="1:19" x14ac:dyDescent="0.25">
      <c r="A198" s="4" t="s">
        <v>72</v>
      </c>
      <c r="B198" s="35" t="s">
        <v>43</v>
      </c>
      <c r="C198" s="5"/>
      <c r="D198" s="14"/>
      <c r="E198" s="5">
        <v>67</v>
      </c>
      <c r="F198" s="5">
        <v>0</v>
      </c>
      <c r="G198" s="5">
        <f t="shared" si="26"/>
        <v>-67</v>
      </c>
      <c r="H198" s="141"/>
      <c r="I198" s="59">
        <v>46115</v>
      </c>
      <c r="J198" s="7" t="s">
        <v>156</v>
      </c>
      <c r="K198" s="47">
        <v>46119</v>
      </c>
      <c r="L198" s="26" t="s">
        <v>120</v>
      </c>
      <c r="M198" s="5"/>
      <c r="N198" s="5"/>
      <c r="O198" s="5"/>
      <c r="P198" s="5"/>
      <c r="Q198" s="5"/>
      <c r="R198" s="5"/>
      <c r="S198" s="5"/>
    </row>
    <row r="200" spans="1:19" x14ac:dyDescent="0.25">
      <c r="A200" s="1" t="s">
        <v>24</v>
      </c>
      <c r="C200" s="2" t="s">
        <v>139</v>
      </c>
    </row>
    <row r="201" spans="1:19" s="11" customFormat="1" ht="30" x14ac:dyDescent="0.25">
      <c r="A201" s="9" t="s">
        <v>42</v>
      </c>
      <c r="B201" s="34" t="s">
        <v>2</v>
      </c>
      <c r="C201" s="9" t="s">
        <v>13</v>
      </c>
      <c r="D201" s="13" t="s">
        <v>14</v>
      </c>
      <c r="E201" s="9" t="s">
        <v>4</v>
      </c>
      <c r="F201" s="10" t="s">
        <v>94</v>
      </c>
      <c r="G201" s="10" t="s">
        <v>103</v>
      </c>
      <c r="H201" s="9" t="s">
        <v>34</v>
      </c>
      <c r="I201" s="9" t="s">
        <v>11</v>
      </c>
      <c r="J201" s="10" t="s">
        <v>58</v>
      </c>
      <c r="K201" s="10" t="s">
        <v>177</v>
      </c>
      <c r="L201" s="9" t="s">
        <v>8</v>
      </c>
      <c r="M201" s="9" t="s">
        <v>7</v>
      </c>
      <c r="N201" s="9" t="s">
        <v>31</v>
      </c>
      <c r="O201" s="9" t="s">
        <v>32</v>
      </c>
      <c r="P201" s="9" t="s">
        <v>29</v>
      </c>
      <c r="Q201" s="9" t="s">
        <v>33</v>
      </c>
      <c r="R201" s="9" t="s">
        <v>26</v>
      </c>
      <c r="S201" s="9" t="s">
        <v>27</v>
      </c>
    </row>
    <row r="202" spans="1:19" x14ac:dyDescent="0.25">
      <c r="A202" s="4" t="s">
        <v>0</v>
      </c>
      <c r="B202" s="35" t="s">
        <v>45</v>
      </c>
      <c r="C202" s="5"/>
      <c r="D202" s="14"/>
      <c r="E202" s="5">
        <v>0</v>
      </c>
      <c r="F202" s="5">
        <f>G178</f>
        <v>-8091</v>
      </c>
      <c r="G202" s="5">
        <f>F202-E202</f>
        <v>-8091</v>
      </c>
      <c r="H202" s="141">
        <v>45993</v>
      </c>
      <c r="I202" s="48">
        <v>46094</v>
      </c>
      <c r="J202" s="5" t="s">
        <v>169</v>
      </c>
      <c r="K202" s="5" t="s">
        <v>170</v>
      </c>
      <c r="L202" s="26" t="s">
        <v>206</v>
      </c>
      <c r="M202" s="5">
        <v>100000</v>
      </c>
      <c r="N202" s="5" t="s">
        <v>89</v>
      </c>
      <c r="O202" s="5"/>
      <c r="P202" s="5"/>
      <c r="Q202" s="5"/>
      <c r="R202" s="5"/>
      <c r="S202" s="5"/>
    </row>
    <row r="203" spans="1:19" x14ac:dyDescent="0.25">
      <c r="A203" s="4" t="s">
        <v>131</v>
      </c>
      <c r="B203" s="35" t="s">
        <v>45</v>
      </c>
      <c r="C203" s="43"/>
      <c r="D203" s="44"/>
      <c r="E203" s="5">
        <v>0</v>
      </c>
      <c r="F203" s="5">
        <f>G179</f>
        <v>-741</v>
      </c>
      <c r="G203" s="5">
        <f>F203-E203</f>
        <v>-741</v>
      </c>
      <c r="H203" s="141"/>
      <c r="I203" s="48">
        <v>46094</v>
      </c>
      <c r="J203" s="5" t="s">
        <v>169</v>
      </c>
      <c r="K203" s="5" t="s">
        <v>170</v>
      </c>
      <c r="L203" s="26" t="s">
        <v>206</v>
      </c>
      <c r="M203" s="5">
        <v>5000</v>
      </c>
      <c r="N203" s="5" t="s">
        <v>49</v>
      </c>
      <c r="O203" s="5"/>
      <c r="P203" s="5"/>
      <c r="Q203" s="5"/>
      <c r="R203" s="5"/>
      <c r="S203" s="5"/>
    </row>
    <row r="204" spans="1:19" x14ac:dyDescent="0.25">
      <c r="A204" s="4" t="s">
        <v>129</v>
      </c>
      <c r="B204" s="35" t="s">
        <v>45</v>
      </c>
      <c r="C204" s="43"/>
      <c r="D204" s="44"/>
      <c r="E204" s="5">
        <v>0</v>
      </c>
      <c r="F204" s="5">
        <f>G180</f>
        <v>-4721</v>
      </c>
      <c r="G204" s="5">
        <f t="shared" ref="G204:G205" si="27">F204-E204</f>
        <v>-4721</v>
      </c>
      <c r="H204" s="141"/>
      <c r="I204" s="48">
        <v>46094</v>
      </c>
      <c r="J204" s="5" t="s">
        <v>169</v>
      </c>
      <c r="K204" s="5" t="s">
        <v>170</v>
      </c>
      <c r="L204" s="26" t="s">
        <v>206</v>
      </c>
      <c r="M204" s="5">
        <v>8500</v>
      </c>
      <c r="N204" s="5" t="s">
        <v>49</v>
      </c>
      <c r="O204" s="5"/>
      <c r="P204" s="5"/>
      <c r="Q204" s="5"/>
      <c r="R204" s="5"/>
      <c r="S204" s="5"/>
    </row>
    <row r="205" spans="1:19" x14ac:dyDescent="0.25">
      <c r="A205" s="4" t="s">
        <v>130</v>
      </c>
      <c r="B205" s="35" t="s">
        <v>45</v>
      </c>
      <c r="C205" s="43"/>
      <c r="D205" s="44"/>
      <c r="E205" s="5">
        <v>0</v>
      </c>
      <c r="F205" s="5">
        <f>G181</f>
        <v>-652</v>
      </c>
      <c r="G205" s="5">
        <f t="shared" si="27"/>
        <v>-652</v>
      </c>
      <c r="H205" s="141"/>
      <c r="I205" s="48">
        <v>46094</v>
      </c>
      <c r="J205" s="5" t="s">
        <v>169</v>
      </c>
      <c r="K205" s="5" t="s">
        <v>170</v>
      </c>
      <c r="L205" s="26" t="s">
        <v>206</v>
      </c>
      <c r="M205" s="5">
        <v>3000</v>
      </c>
      <c r="N205" s="5" t="s">
        <v>49</v>
      </c>
      <c r="O205" s="5"/>
      <c r="P205" s="5"/>
      <c r="Q205" s="5"/>
      <c r="R205" s="5"/>
      <c r="S205" s="5"/>
    </row>
    <row r="206" spans="1:19" ht="15" customHeight="1" x14ac:dyDescent="0.25">
      <c r="A206" s="4" t="s">
        <v>104</v>
      </c>
      <c r="B206" s="98" t="s">
        <v>35</v>
      </c>
      <c r="C206" s="100" t="s">
        <v>12</v>
      </c>
      <c r="D206" s="102" t="s">
        <v>15</v>
      </c>
      <c r="E206" s="5">
        <v>0</v>
      </c>
      <c r="F206" s="5">
        <f>G182</f>
        <v>-1024</v>
      </c>
      <c r="G206" s="5">
        <f t="shared" ref="G206:G222" si="28">F206-E206</f>
        <v>-1024</v>
      </c>
      <c r="H206" s="141"/>
      <c r="I206" s="28">
        <v>46087</v>
      </c>
      <c r="J206" s="5" t="s">
        <v>56</v>
      </c>
      <c r="K206" s="28"/>
      <c r="L206" s="26" t="s">
        <v>120</v>
      </c>
      <c r="M206" s="5"/>
      <c r="N206" s="5" t="s">
        <v>89</v>
      </c>
      <c r="O206" s="5"/>
      <c r="P206" s="5"/>
      <c r="Q206" s="5"/>
      <c r="R206" s="5"/>
      <c r="S206" s="5"/>
    </row>
    <row r="207" spans="1:19" x14ac:dyDescent="0.25">
      <c r="A207" s="4" t="s">
        <v>73</v>
      </c>
      <c r="B207" s="105"/>
      <c r="C207" s="104"/>
      <c r="D207" s="148"/>
      <c r="E207" s="5">
        <v>0</v>
      </c>
      <c r="F207" s="5">
        <f>G184</f>
        <v>31.939999999999898</v>
      </c>
      <c r="G207" s="5">
        <f t="shared" si="28"/>
        <v>31.939999999999898</v>
      </c>
      <c r="H207" s="141"/>
      <c r="I207" s="108" t="s">
        <v>60</v>
      </c>
      <c r="J207" s="109"/>
      <c r="K207" s="109"/>
      <c r="L207" s="109"/>
      <c r="M207" s="109"/>
      <c r="N207" s="109"/>
      <c r="O207" s="109"/>
      <c r="P207" s="109"/>
      <c r="Q207" s="110"/>
      <c r="R207" s="5"/>
      <c r="S207" s="5"/>
    </row>
    <row r="208" spans="1:19" x14ac:dyDescent="0.25">
      <c r="A208" s="4" t="s">
        <v>59</v>
      </c>
      <c r="B208" s="99"/>
      <c r="C208" s="101"/>
      <c r="D208" s="103"/>
      <c r="E208" s="5">
        <v>0</v>
      </c>
      <c r="F208" s="5">
        <f>G185</f>
        <v>338.52</v>
      </c>
      <c r="G208" s="5">
        <f t="shared" si="28"/>
        <v>338.52</v>
      </c>
      <c r="H208" s="141"/>
      <c r="I208" s="108" t="s">
        <v>60</v>
      </c>
      <c r="J208" s="109"/>
      <c r="K208" s="109"/>
      <c r="L208" s="109"/>
      <c r="M208" s="109"/>
      <c r="N208" s="109"/>
      <c r="O208" s="109"/>
      <c r="P208" s="109"/>
      <c r="Q208" s="110"/>
      <c r="R208" s="5"/>
      <c r="S208" s="5"/>
    </row>
    <row r="209" spans="1:19" s="65" customFormat="1" ht="30" x14ac:dyDescent="0.25">
      <c r="A209" s="61" t="s">
        <v>184</v>
      </c>
      <c r="B209" s="50" t="s">
        <v>123</v>
      </c>
      <c r="C209" s="49"/>
      <c r="D209" s="29"/>
      <c r="E209" s="62">
        <v>0</v>
      </c>
      <c r="F209" s="7">
        <v>0</v>
      </c>
      <c r="G209" s="7">
        <f t="shared" si="28"/>
        <v>0</v>
      </c>
      <c r="H209" s="141"/>
      <c r="I209" s="59">
        <v>46051</v>
      </c>
      <c r="J209" s="7" t="s">
        <v>56</v>
      </c>
      <c r="K209" s="60" t="s">
        <v>186</v>
      </c>
      <c r="L209" s="63" t="s">
        <v>185</v>
      </c>
      <c r="M209" s="7">
        <v>6858</v>
      </c>
      <c r="N209" s="21" t="s">
        <v>89</v>
      </c>
      <c r="O209" s="7"/>
      <c r="P209" s="7"/>
      <c r="Q209" s="64"/>
      <c r="R209" s="7"/>
      <c r="S209" s="7"/>
    </row>
    <row r="210" spans="1:19" x14ac:dyDescent="0.25">
      <c r="A210" s="4" t="s">
        <v>47</v>
      </c>
      <c r="B210" s="98" t="s">
        <v>36</v>
      </c>
      <c r="C210" s="100" t="s">
        <v>41</v>
      </c>
      <c r="D210" s="146" t="s">
        <v>40</v>
      </c>
      <c r="E210" s="5">
        <v>0</v>
      </c>
      <c r="F210" s="5"/>
      <c r="G210" s="5"/>
      <c r="H210" s="141"/>
      <c r="I210" s="119">
        <v>46051</v>
      </c>
      <c r="J210" s="100" t="s">
        <v>56</v>
      </c>
      <c r="K210" s="115">
        <v>46056</v>
      </c>
      <c r="L210" s="100" t="s">
        <v>52</v>
      </c>
      <c r="M210" s="5">
        <v>2850</v>
      </c>
      <c r="N210" s="100" t="s">
        <v>89</v>
      </c>
      <c r="O210" s="106" t="s">
        <v>91</v>
      </c>
      <c r="P210" s="5" t="s">
        <v>54</v>
      </c>
      <c r="Q210" s="111">
        <v>46106</v>
      </c>
      <c r="R210" s="8">
        <v>46084</v>
      </c>
      <c r="S210" s="8">
        <v>46085</v>
      </c>
    </row>
    <row r="211" spans="1:19" x14ac:dyDescent="0.25">
      <c r="A211" s="4" t="s">
        <v>48</v>
      </c>
      <c r="B211" s="99"/>
      <c r="C211" s="101"/>
      <c r="D211" s="147"/>
      <c r="E211" s="5">
        <v>0</v>
      </c>
      <c r="F211" s="5"/>
      <c r="G211" s="5"/>
      <c r="H211" s="141"/>
      <c r="I211" s="101"/>
      <c r="J211" s="101"/>
      <c r="K211" s="116"/>
      <c r="L211" s="101"/>
      <c r="M211" s="6">
        <v>3750</v>
      </c>
      <c r="N211" s="101"/>
      <c r="O211" s="107"/>
      <c r="P211" s="5" t="s">
        <v>54</v>
      </c>
      <c r="Q211" s="112"/>
      <c r="R211" s="5"/>
      <c r="S211" s="5"/>
    </row>
    <row r="212" spans="1:19" x14ac:dyDescent="0.25">
      <c r="A212" s="151" t="s">
        <v>106</v>
      </c>
      <c r="B212" s="98" t="s">
        <v>93</v>
      </c>
      <c r="C212" s="100" t="s">
        <v>88</v>
      </c>
      <c r="D212" s="16"/>
      <c r="E212" s="100">
        <v>0</v>
      </c>
      <c r="F212" s="5"/>
      <c r="G212" s="5"/>
      <c r="H212" s="141"/>
      <c r="I212" s="113">
        <v>46062</v>
      </c>
      <c r="J212" s="100" t="s">
        <v>56</v>
      </c>
      <c r="K212" s="115">
        <v>46064</v>
      </c>
      <c r="L212" s="117" t="s">
        <v>90</v>
      </c>
      <c r="M212" s="5">
        <v>2250</v>
      </c>
      <c r="N212" s="21" t="s">
        <v>49</v>
      </c>
      <c r="O212" s="106" t="s">
        <v>81</v>
      </c>
      <c r="P212" s="5" t="s">
        <v>54</v>
      </c>
      <c r="Q212" s="24">
        <v>46086</v>
      </c>
      <c r="R212" s="5"/>
      <c r="S212" s="5"/>
    </row>
    <row r="213" spans="1:19" x14ac:dyDescent="0.25">
      <c r="A213" s="152"/>
      <c r="B213" s="99"/>
      <c r="C213" s="101"/>
      <c r="D213" s="16"/>
      <c r="E213" s="101"/>
      <c r="F213" s="5"/>
      <c r="G213" s="5"/>
      <c r="H213" s="141"/>
      <c r="I213" s="114"/>
      <c r="J213" s="101"/>
      <c r="K213" s="116"/>
      <c r="L213" s="118"/>
      <c r="M213" s="6">
        <f>6300-M212</f>
        <v>4050</v>
      </c>
      <c r="N213" s="21" t="s">
        <v>89</v>
      </c>
      <c r="O213" s="107"/>
      <c r="P213" s="5" t="s">
        <v>54</v>
      </c>
      <c r="Q213" s="24">
        <v>46106</v>
      </c>
      <c r="R213" s="5"/>
      <c r="S213" s="5"/>
    </row>
    <row r="214" spans="1:19" x14ac:dyDescent="0.25">
      <c r="A214" s="4" t="s">
        <v>3</v>
      </c>
      <c r="B214" s="98" t="s">
        <v>176</v>
      </c>
      <c r="C214" s="100"/>
      <c r="D214" s="100"/>
      <c r="E214" s="5">
        <v>0</v>
      </c>
      <c r="F214" s="5">
        <f>G191</f>
        <v>13.620000000000008</v>
      </c>
      <c r="G214" s="5">
        <f t="shared" si="28"/>
        <v>13.620000000000008</v>
      </c>
      <c r="H214" s="141"/>
      <c r="I214" s="59">
        <v>46087</v>
      </c>
      <c r="J214" s="7" t="s">
        <v>56</v>
      </c>
      <c r="K214" s="68">
        <v>46091</v>
      </c>
      <c r="L214" s="35" t="s">
        <v>151</v>
      </c>
      <c r="M214" s="5">
        <v>40</v>
      </c>
      <c r="N214" s="21" t="s">
        <v>89</v>
      </c>
      <c r="O214" s="5"/>
      <c r="P214" s="5"/>
      <c r="Q214" s="8"/>
      <c r="R214" s="5"/>
      <c r="S214" s="5"/>
    </row>
    <row r="215" spans="1:19" x14ac:dyDescent="0.25">
      <c r="A215" s="4" t="s">
        <v>67</v>
      </c>
      <c r="B215" s="99"/>
      <c r="C215" s="101"/>
      <c r="D215" s="101"/>
      <c r="E215" s="5">
        <v>0</v>
      </c>
      <c r="F215" s="5">
        <f>G192</f>
        <v>-37.760000000000005</v>
      </c>
      <c r="G215" s="5">
        <f t="shared" si="28"/>
        <v>-37.760000000000005</v>
      </c>
      <c r="H215" s="141"/>
      <c r="I215" s="59">
        <v>46087</v>
      </c>
      <c r="J215" s="7" t="s">
        <v>56</v>
      </c>
      <c r="K215" s="68">
        <v>46091</v>
      </c>
      <c r="L215" s="35" t="s">
        <v>151</v>
      </c>
      <c r="M215" s="5">
        <v>281</v>
      </c>
      <c r="N215" s="21" t="s">
        <v>89</v>
      </c>
      <c r="O215" s="5"/>
      <c r="P215" s="5"/>
      <c r="Q215" s="5"/>
      <c r="R215" s="5"/>
      <c r="S215" s="5"/>
    </row>
    <row r="216" spans="1:19" x14ac:dyDescent="0.25">
      <c r="A216" s="4" t="s">
        <v>115</v>
      </c>
      <c r="B216" s="35" t="s">
        <v>37</v>
      </c>
      <c r="C216" s="5" t="s">
        <v>38</v>
      </c>
      <c r="D216" s="15" t="s">
        <v>39</v>
      </c>
      <c r="E216" s="5">
        <v>0</v>
      </c>
      <c r="F216" s="5"/>
      <c r="G216" s="5">
        <f t="shared" si="28"/>
        <v>0</v>
      </c>
      <c r="H216" s="141"/>
      <c r="I216" s="132" t="s">
        <v>155</v>
      </c>
      <c r="J216" s="133"/>
      <c r="K216" s="133"/>
      <c r="L216" s="133"/>
      <c r="M216" s="133"/>
      <c r="N216" s="133"/>
      <c r="O216" s="133"/>
      <c r="P216" s="133"/>
      <c r="Q216" s="133"/>
      <c r="R216" s="133"/>
      <c r="S216" s="134"/>
    </row>
    <row r="217" spans="1:19" x14ac:dyDescent="0.25">
      <c r="A217" s="4" t="s">
        <v>30</v>
      </c>
      <c r="B217" s="35"/>
      <c r="C217" s="5"/>
      <c r="D217" s="14"/>
      <c r="E217" s="5">
        <v>0</v>
      </c>
      <c r="F217" s="5">
        <f>G194</f>
        <v>-52.5</v>
      </c>
      <c r="G217" s="5">
        <f t="shared" si="28"/>
        <v>-52.5</v>
      </c>
      <c r="H217" s="141"/>
      <c r="I217" s="108" t="s">
        <v>60</v>
      </c>
      <c r="J217" s="109"/>
      <c r="K217" s="109"/>
      <c r="L217" s="109"/>
      <c r="M217" s="109"/>
      <c r="N217" s="109"/>
      <c r="O217" s="109"/>
      <c r="P217" s="109"/>
      <c r="Q217" s="110"/>
      <c r="R217" s="5"/>
      <c r="S217" s="5"/>
    </row>
    <row r="218" spans="1:19" x14ac:dyDescent="0.25">
      <c r="A218" s="4" t="s">
        <v>61</v>
      </c>
      <c r="B218" s="35" t="s">
        <v>62</v>
      </c>
      <c r="C218" s="41"/>
      <c r="D218" s="14"/>
      <c r="E218" s="5">
        <v>0</v>
      </c>
      <c r="F218" s="5">
        <f>G195</f>
        <v>-1000</v>
      </c>
      <c r="G218" s="5">
        <f t="shared" si="28"/>
        <v>-1000</v>
      </c>
      <c r="H218" s="141"/>
      <c r="I218" s="108" t="s">
        <v>60</v>
      </c>
      <c r="J218" s="109"/>
      <c r="K218" s="109"/>
      <c r="L218" s="109"/>
      <c r="M218" s="109"/>
      <c r="N218" s="109"/>
      <c r="O218" s="109"/>
      <c r="P218" s="109"/>
      <c r="Q218" s="110"/>
      <c r="R218" s="5"/>
      <c r="S218" s="5"/>
    </row>
    <row r="219" spans="1:19" x14ac:dyDescent="0.25">
      <c r="A219" s="4" t="s">
        <v>128</v>
      </c>
      <c r="B219" s="98" t="s">
        <v>111</v>
      </c>
      <c r="C219" s="14"/>
      <c r="D219" s="14"/>
      <c r="E219" s="5">
        <v>0</v>
      </c>
      <c r="F219" s="5">
        <v>2000</v>
      </c>
      <c r="G219" s="5">
        <f t="shared" si="28"/>
        <v>2000</v>
      </c>
      <c r="H219" s="141"/>
      <c r="I219" s="108" t="s">
        <v>60</v>
      </c>
      <c r="J219" s="109"/>
      <c r="K219" s="109"/>
      <c r="L219" s="109"/>
      <c r="M219" s="109"/>
      <c r="N219" s="109"/>
      <c r="O219" s="109"/>
      <c r="P219" s="109"/>
      <c r="Q219" s="110"/>
      <c r="R219" s="5"/>
      <c r="S219" s="5"/>
    </row>
    <row r="220" spans="1:19" x14ac:dyDescent="0.25">
      <c r="A220" s="4" t="s">
        <v>108</v>
      </c>
      <c r="B220" s="99"/>
      <c r="C220" s="14"/>
      <c r="D220" s="14"/>
      <c r="E220" s="5">
        <v>0</v>
      </c>
      <c r="F220" s="5">
        <f>G196</f>
        <v>-4920</v>
      </c>
      <c r="G220" s="5">
        <f t="shared" si="28"/>
        <v>-4920</v>
      </c>
      <c r="H220" s="141"/>
      <c r="I220" s="108" t="s">
        <v>60</v>
      </c>
      <c r="J220" s="109"/>
      <c r="K220" s="109"/>
      <c r="L220" s="109"/>
      <c r="M220" s="109"/>
      <c r="N220" s="109"/>
      <c r="O220" s="109"/>
      <c r="P220" s="109"/>
      <c r="Q220" s="110"/>
      <c r="R220" s="5"/>
      <c r="S220" s="5"/>
    </row>
    <row r="221" spans="1:19" x14ac:dyDescent="0.25">
      <c r="A221" s="4" t="s">
        <v>65</v>
      </c>
      <c r="B221" s="35" t="s">
        <v>66</v>
      </c>
      <c r="C221" s="5"/>
      <c r="D221" s="14"/>
      <c r="E221" s="5">
        <v>0</v>
      </c>
      <c r="F221" s="5">
        <f>G197</f>
        <v>-273.52</v>
      </c>
      <c r="G221" s="5">
        <f>F221-E221</f>
        <v>-273.52</v>
      </c>
      <c r="H221" s="141"/>
      <c r="I221" s="108" t="s">
        <v>60</v>
      </c>
      <c r="J221" s="109"/>
      <c r="K221" s="109"/>
      <c r="L221" s="109"/>
      <c r="M221" s="109"/>
      <c r="N221" s="109"/>
      <c r="O221" s="109"/>
      <c r="P221" s="109"/>
      <c r="Q221" s="110"/>
      <c r="R221" s="5"/>
      <c r="S221" s="5"/>
    </row>
    <row r="222" spans="1:19" x14ac:dyDescent="0.25">
      <c r="A222" s="4" t="s">
        <v>72</v>
      </c>
      <c r="B222" s="35" t="s">
        <v>43</v>
      </c>
      <c r="C222" s="5"/>
      <c r="D222" s="14"/>
      <c r="E222" s="5">
        <v>0</v>
      </c>
      <c r="F222" s="5"/>
      <c r="G222" s="5">
        <f t="shared" si="28"/>
        <v>0</v>
      </c>
      <c r="H222" s="141"/>
      <c r="I222" s="132" t="s">
        <v>168</v>
      </c>
      <c r="J222" s="133"/>
      <c r="K222" s="133"/>
      <c r="L222" s="133"/>
      <c r="M222" s="133"/>
      <c r="N222" s="133"/>
      <c r="O222" s="133"/>
      <c r="P222" s="133"/>
      <c r="Q222" s="133"/>
      <c r="R222" s="133"/>
      <c r="S222" s="134"/>
    </row>
    <row r="223" spans="1:19" x14ac:dyDescent="0.25">
      <c r="F223" s="2" t="s">
        <v>193</v>
      </c>
    </row>
    <row r="224" spans="1:19" x14ac:dyDescent="0.25">
      <c r="A224" s="1" t="s">
        <v>25</v>
      </c>
      <c r="C224" s="2" t="s">
        <v>140</v>
      </c>
    </row>
    <row r="225" spans="1:19" s="11" customFormat="1" ht="30" x14ac:dyDescent="0.25">
      <c r="A225" s="9" t="s">
        <v>42</v>
      </c>
      <c r="B225" s="34" t="s">
        <v>2</v>
      </c>
      <c r="C225" s="9" t="s">
        <v>13</v>
      </c>
      <c r="D225" s="13" t="s">
        <v>14</v>
      </c>
      <c r="E225" s="9" t="s">
        <v>4</v>
      </c>
      <c r="F225" s="10" t="s">
        <v>94</v>
      </c>
      <c r="G225" s="10" t="s">
        <v>103</v>
      </c>
      <c r="H225" s="9" t="s">
        <v>34</v>
      </c>
      <c r="I225" s="9" t="s">
        <v>11</v>
      </c>
      <c r="J225" s="10" t="s">
        <v>58</v>
      </c>
      <c r="K225" s="10" t="s">
        <v>177</v>
      </c>
      <c r="L225" s="9" t="s">
        <v>8</v>
      </c>
      <c r="M225" s="9" t="s">
        <v>7</v>
      </c>
      <c r="N225" s="9" t="s">
        <v>31</v>
      </c>
      <c r="O225" s="9" t="s">
        <v>32</v>
      </c>
      <c r="P225" s="9" t="s">
        <v>29</v>
      </c>
      <c r="Q225" s="9" t="s">
        <v>33</v>
      </c>
      <c r="R225" s="9" t="s">
        <v>26</v>
      </c>
      <c r="S225" s="9" t="s">
        <v>27</v>
      </c>
    </row>
    <row r="226" spans="1:19" x14ac:dyDescent="0.25">
      <c r="A226" s="4" t="s">
        <v>0</v>
      </c>
      <c r="B226" s="35" t="s">
        <v>45</v>
      </c>
      <c r="C226" s="5"/>
      <c r="D226" s="14"/>
      <c r="E226" s="5">
        <f>E156*2</f>
        <v>30000</v>
      </c>
      <c r="F226" s="5">
        <f>G178</f>
        <v>-8091</v>
      </c>
      <c r="G226" s="5">
        <f>F226-E226</f>
        <v>-38091</v>
      </c>
      <c r="H226" s="119">
        <v>46000</v>
      </c>
      <c r="I226" s="48">
        <v>46094</v>
      </c>
      <c r="J226" s="5" t="s">
        <v>169</v>
      </c>
      <c r="K226" s="5" t="s">
        <v>170</v>
      </c>
      <c r="L226" s="26" t="s">
        <v>206</v>
      </c>
      <c r="M226" s="5">
        <v>100000</v>
      </c>
      <c r="N226" s="5" t="s">
        <v>89</v>
      </c>
      <c r="O226" s="5"/>
      <c r="P226" s="5"/>
      <c r="Q226" s="5"/>
      <c r="R226" s="5"/>
      <c r="S226" s="5"/>
    </row>
    <row r="227" spans="1:19" x14ac:dyDescent="0.25">
      <c r="A227" s="4" t="s">
        <v>131</v>
      </c>
      <c r="B227" s="35" t="s">
        <v>45</v>
      </c>
      <c r="C227" s="43"/>
      <c r="D227" s="44"/>
      <c r="E227" s="5">
        <f>2.05*2000</f>
        <v>4100</v>
      </c>
      <c r="F227" s="5">
        <f>G203</f>
        <v>-741</v>
      </c>
      <c r="G227" s="5">
        <f>F227-E227</f>
        <v>-4841</v>
      </c>
      <c r="H227" s="139"/>
      <c r="I227" s="48">
        <v>46094</v>
      </c>
      <c r="J227" s="5" t="s">
        <v>169</v>
      </c>
      <c r="K227" s="5" t="s">
        <v>170</v>
      </c>
      <c r="L227" s="26" t="s">
        <v>206</v>
      </c>
      <c r="M227" s="5">
        <v>5000</v>
      </c>
      <c r="N227" s="5" t="s">
        <v>49</v>
      </c>
      <c r="O227" s="5"/>
      <c r="P227" s="5"/>
      <c r="Q227" s="5"/>
      <c r="R227" s="5"/>
      <c r="S227" s="5"/>
    </row>
    <row r="228" spans="1:19" x14ac:dyDescent="0.25">
      <c r="A228" s="4" t="s">
        <v>129</v>
      </c>
      <c r="B228" s="35" t="s">
        <v>45</v>
      </c>
      <c r="C228" s="43"/>
      <c r="D228" s="44"/>
      <c r="E228" s="5">
        <f>2.05*2000</f>
        <v>4100</v>
      </c>
      <c r="F228" s="5">
        <f>G204</f>
        <v>-4721</v>
      </c>
      <c r="G228" s="5">
        <f t="shared" ref="G228:G229" si="29">F228-E228</f>
        <v>-8821</v>
      </c>
      <c r="H228" s="139"/>
      <c r="I228" s="48">
        <v>46094</v>
      </c>
      <c r="J228" s="5" t="s">
        <v>169</v>
      </c>
      <c r="K228" s="5" t="s">
        <v>170</v>
      </c>
      <c r="L228" s="26" t="s">
        <v>206</v>
      </c>
      <c r="M228" s="5">
        <v>8500</v>
      </c>
      <c r="N228" s="5" t="s">
        <v>49</v>
      </c>
      <c r="O228" s="5"/>
      <c r="P228" s="5"/>
      <c r="Q228" s="5"/>
      <c r="R228" s="5"/>
      <c r="S228" s="5"/>
    </row>
    <row r="229" spans="1:19" x14ac:dyDescent="0.25">
      <c r="A229" s="4" t="s">
        <v>130</v>
      </c>
      <c r="B229" s="35" t="s">
        <v>45</v>
      </c>
      <c r="C229" s="43"/>
      <c r="D229" s="44"/>
      <c r="E229" s="5">
        <v>2000</v>
      </c>
      <c r="F229" s="5">
        <f>G205</f>
        <v>-652</v>
      </c>
      <c r="G229" s="5">
        <f t="shared" si="29"/>
        <v>-2652</v>
      </c>
      <c r="H229" s="139"/>
      <c r="I229" s="48">
        <v>46094</v>
      </c>
      <c r="J229" s="5" t="s">
        <v>169</v>
      </c>
      <c r="K229" s="5" t="s">
        <v>170</v>
      </c>
      <c r="L229" s="26" t="s">
        <v>206</v>
      </c>
      <c r="M229" s="5">
        <v>3000</v>
      </c>
      <c r="N229" s="5" t="s">
        <v>49</v>
      </c>
      <c r="O229" s="5"/>
      <c r="P229" s="5"/>
      <c r="Q229" s="5"/>
      <c r="R229" s="5"/>
      <c r="S229" s="5"/>
    </row>
    <row r="230" spans="1:19" x14ac:dyDescent="0.25">
      <c r="A230" s="4" t="s">
        <v>105</v>
      </c>
      <c r="B230" s="98" t="s">
        <v>35</v>
      </c>
      <c r="C230" s="100" t="s">
        <v>12</v>
      </c>
      <c r="D230" s="102" t="s">
        <v>15</v>
      </c>
      <c r="E230" s="5">
        <f>E160*2</f>
        <v>2000</v>
      </c>
      <c r="F230" s="5">
        <f>G160</f>
        <v>-1440</v>
      </c>
      <c r="G230" s="5">
        <f t="shared" ref="G230:G245" si="30">F230-E230</f>
        <v>-3440</v>
      </c>
      <c r="H230" s="139"/>
      <c r="I230" s="59">
        <v>46087</v>
      </c>
      <c r="J230" s="7" t="s">
        <v>56</v>
      </c>
      <c r="K230" s="47">
        <v>46112</v>
      </c>
      <c r="L230" s="35" t="s">
        <v>192</v>
      </c>
      <c r="M230" s="5"/>
      <c r="N230" s="5" t="s">
        <v>89</v>
      </c>
      <c r="O230" s="5"/>
      <c r="P230" s="5"/>
      <c r="Q230" s="5"/>
      <c r="R230" s="5"/>
      <c r="S230" s="5"/>
    </row>
    <row r="231" spans="1:19" x14ac:dyDescent="0.25">
      <c r="A231" s="4" t="s">
        <v>59</v>
      </c>
      <c r="B231" s="105"/>
      <c r="C231" s="104"/>
      <c r="D231" s="103"/>
      <c r="E231" s="5">
        <f>E161*2</f>
        <v>236</v>
      </c>
      <c r="F231" s="5">
        <f>G208</f>
        <v>338.52</v>
      </c>
      <c r="G231" s="5">
        <f t="shared" si="30"/>
        <v>102.51999999999998</v>
      </c>
      <c r="H231" s="139"/>
      <c r="I231" s="59">
        <v>46087</v>
      </c>
      <c r="J231" s="7" t="s">
        <v>56</v>
      </c>
      <c r="K231" s="47">
        <v>46112</v>
      </c>
      <c r="L231" s="35" t="s">
        <v>192</v>
      </c>
      <c r="M231" s="5"/>
      <c r="N231" s="5" t="s">
        <v>89</v>
      </c>
      <c r="O231" s="5"/>
      <c r="P231" s="5"/>
      <c r="Q231" s="5"/>
      <c r="R231" s="5"/>
      <c r="S231" s="5"/>
    </row>
    <row r="232" spans="1:19" x14ac:dyDescent="0.25">
      <c r="A232" s="4" t="s">
        <v>175</v>
      </c>
      <c r="B232" s="99"/>
      <c r="C232" s="101"/>
      <c r="D232" s="29"/>
      <c r="E232" s="5">
        <f>(0.38*0.935)*2000</f>
        <v>710.6</v>
      </c>
      <c r="F232" s="5">
        <f>G162</f>
        <v>-51.300000000000011</v>
      </c>
      <c r="G232" s="5">
        <f t="shared" si="30"/>
        <v>-761.90000000000009</v>
      </c>
      <c r="H232" s="139"/>
      <c r="I232" s="59">
        <v>46087</v>
      </c>
      <c r="J232" s="7" t="s">
        <v>56</v>
      </c>
      <c r="K232" s="47">
        <v>46112</v>
      </c>
      <c r="L232" s="35" t="s">
        <v>192</v>
      </c>
      <c r="M232" s="5"/>
      <c r="N232" s="43"/>
      <c r="O232" s="43"/>
      <c r="P232" s="5"/>
      <c r="Q232" s="43"/>
      <c r="R232" s="5"/>
      <c r="S232" s="5"/>
    </row>
    <row r="233" spans="1:19" s="65" customFormat="1" ht="30" x14ac:dyDescent="0.25">
      <c r="A233" s="61" t="s">
        <v>184</v>
      </c>
      <c r="B233" s="50" t="s">
        <v>123</v>
      </c>
      <c r="C233" s="49"/>
      <c r="D233" s="29"/>
      <c r="E233" s="62">
        <f>((0.365*0.555)*5)*2000</f>
        <v>2025.75</v>
      </c>
      <c r="F233" s="7">
        <v>0</v>
      </c>
      <c r="G233" s="7">
        <f t="shared" si="30"/>
        <v>-2025.75</v>
      </c>
      <c r="H233" s="139"/>
      <c r="I233" s="59">
        <v>46051</v>
      </c>
      <c r="J233" s="7" t="s">
        <v>56</v>
      </c>
      <c r="K233" s="60" t="s">
        <v>186</v>
      </c>
      <c r="L233" s="63" t="s">
        <v>185</v>
      </c>
      <c r="M233" s="7">
        <v>6858</v>
      </c>
      <c r="N233" s="21" t="s">
        <v>89</v>
      </c>
      <c r="O233" s="7"/>
      <c r="P233" s="7"/>
      <c r="Q233" s="64"/>
      <c r="R233" s="7"/>
      <c r="S233" s="7"/>
    </row>
    <row r="234" spans="1:19" x14ac:dyDescent="0.25">
      <c r="A234" s="4" t="s">
        <v>47</v>
      </c>
      <c r="B234" s="98" t="s">
        <v>36</v>
      </c>
      <c r="C234" s="100" t="s">
        <v>41</v>
      </c>
      <c r="D234" s="146" t="s">
        <v>40</v>
      </c>
      <c r="E234" s="5">
        <f>E163*2</f>
        <v>1406</v>
      </c>
      <c r="F234" s="5">
        <f>G210</f>
        <v>0</v>
      </c>
      <c r="G234" s="5">
        <f t="shared" si="30"/>
        <v>-1406</v>
      </c>
      <c r="H234" s="139"/>
      <c r="I234" s="119">
        <v>46051</v>
      </c>
      <c r="J234" s="100" t="s">
        <v>56</v>
      </c>
      <c r="K234" s="115">
        <v>46056</v>
      </c>
      <c r="L234" s="100" t="s">
        <v>52</v>
      </c>
      <c r="M234" s="5">
        <v>2850</v>
      </c>
      <c r="N234" s="100" t="s">
        <v>89</v>
      </c>
      <c r="O234" s="106" t="s">
        <v>91</v>
      </c>
      <c r="P234" s="5" t="s">
        <v>54</v>
      </c>
      <c r="Q234" s="111">
        <v>46106</v>
      </c>
      <c r="R234" s="8">
        <v>46139</v>
      </c>
      <c r="S234" s="8" t="s">
        <v>164</v>
      </c>
    </row>
    <row r="235" spans="1:19" x14ac:dyDescent="0.25">
      <c r="A235" s="4" t="s">
        <v>48</v>
      </c>
      <c r="B235" s="99"/>
      <c r="C235" s="101"/>
      <c r="D235" s="147"/>
      <c r="E235" s="5">
        <f>E164*2</f>
        <v>2109</v>
      </c>
      <c r="F235" s="5">
        <f>G211</f>
        <v>0</v>
      </c>
      <c r="G235" s="5">
        <f t="shared" si="30"/>
        <v>-2109</v>
      </c>
      <c r="H235" s="139"/>
      <c r="I235" s="101"/>
      <c r="J235" s="101"/>
      <c r="K235" s="116"/>
      <c r="L235" s="101"/>
      <c r="M235" s="6">
        <v>3750</v>
      </c>
      <c r="N235" s="101"/>
      <c r="O235" s="107"/>
      <c r="P235" s="5" t="s">
        <v>54</v>
      </c>
      <c r="Q235" s="112"/>
      <c r="R235" s="5"/>
      <c r="S235" s="5"/>
    </row>
    <row r="236" spans="1:19" x14ac:dyDescent="0.25">
      <c r="A236" s="4" t="s">
        <v>47</v>
      </c>
      <c r="B236" s="98" t="s">
        <v>93</v>
      </c>
      <c r="C236" s="100" t="s">
        <v>88</v>
      </c>
      <c r="D236" s="16"/>
      <c r="E236" s="100">
        <f>E235+E234</f>
        <v>3515</v>
      </c>
      <c r="F236" s="5"/>
      <c r="G236" s="5"/>
      <c r="H236" s="139"/>
      <c r="I236" s="113">
        <v>46062</v>
      </c>
      <c r="J236" s="100" t="s">
        <v>56</v>
      </c>
      <c r="K236" s="115">
        <v>46064</v>
      </c>
      <c r="L236" s="117" t="s">
        <v>90</v>
      </c>
      <c r="M236" s="5">
        <v>2250</v>
      </c>
      <c r="N236" s="21" t="s">
        <v>49</v>
      </c>
      <c r="O236" s="106" t="s">
        <v>81</v>
      </c>
      <c r="P236" s="5" t="s">
        <v>54</v>
      </c>
      <c r="Q236" s="24">
        <v>46086</v>
      </c>
      <c r="R236" s="5"/>
      <c r="S236" s="5" t="s">
        <v>165</v>
      </c>
    </row>
    <row r="237" spans="1:19" x14ac:dyDescent="0.25">
      <c r="A237" s="4" t="s">
        <v>48</v>
      </c>
      <c r="B237" s="99"/>
      <c r="C237" s="101"/>
      <c r="D237" s="16"/>
      <c r="E237" s="101"/>
      <c r="F237" s="5"/>
      <c r="G237" s="5"/>
      <c r="H237" s="139"/>
      <c r="I237" s="114"/>
      <c r="J237" s="101"/>
      <c r="K237" s="116"/>
      <c r="L237" s="118"/>
      <c r="M237" s="6">
        <f>6300-M236</f>
        <v>4050</v>
      </c>
      <c r="N237" s="21" t="s">
        <v>89</v>
      </c>
      <c r="O237" s="107"/>
      <c r="P237" s="5" t="s">
        <v>54</v>
      </c>
      <c r="Q237" s="24">
        <v>46106</v>
      </c>
      <c r="R237" s="5"/>
      <c r="S237" s="5"/>
    </row>
    <row r="238" spans="1:19" x14ac:dyDescent="0.25">
      <c r="A238" s="4" t="s">
        <v>3</v>
      </c>
      <c r="B238" s="98" t="s">
        <v>176</v>
      </c>
      <c r="C238" s="100"/>
      <c r="D238" s="100"/>
      <c r="E238" s="5">
        <f t="shared" ref="E238:E244" si="31">E167*2</f>
        <v>4</v>
      </c>
      <c r="F238" s="5">
        <f>G214</f>
        <v>13.620000000000008</v>
      </c>
      <c r="G238" s="5">
        <f t="shared" si="30"/>
        <v>9.6200000000000081</v>
      </c>
      <c r="H238" s="139"/>
      <c r="I238" s="59">
        <v>46087</v>
      </c>
      <c r="J238" s="7" t="s">
        <v>56</v>
      </c>
      <c r="K238" s="68">
        <v>46091</v>
      </c>
      <c r="L238" s="35" t="s">
        <v>151</v>
      </c>
      <c r="M238" s="5">
        <v>40</v>
      </c>
      <c r="N238" s="21" t="s">
        <v>89</v>
      </c>
      <c r="O238" s="5"/>
      <c r="P238" s="5"/>
      <c r="Q238" s="8"/>
      <c r="R238" s="5"/>
      <c r="S238" s="5"/>
    </row>
    <row r="239" spans="1:19" x14ac:dyDescent="0.25">
      <c r="A239" s="4" t="s">
        <v>67</v>
      </c>
      <c r="B239" s="99"/>
      <c r="C239" s="101"/>
      <c r="D239" s="101"/>
      <c r="E239" s="5">
        <f t="shared" si="31"/>
        <v>50</v>
      </c>
      <c r="F239" s="5">
        <f>G215</f>
        <v>-37.760000000000005</v>
      </c>
      <c r="G239" s="5">
        <f t="shared" si="30"/>
        <v>-87.76</v>
      </c>
      <c r="H239" s="139"/>
      <c r="I239" s="59">
        <v>46087</v>
      </c>
      <c r="J239" s="7" t="s">
        <v>56</v>
      </c>
      <c r="K239" s="68">
        <v>46091</v>
      </c>
      <c r="L239" s="35" t="s">
        <v>151</v>
      </c>
      <c r="M239" s="5">
        <v>281</v>
      </c>
      <c r="N239" s="21" t="s">
        <v>89</v>
      </c>
      <c r="O239" s="5"/>
      <c r="P239" s="5"/>
      <c r="Q239" s="5"/>
      <c r="R239" s="5"/>
      <c r="S239" s="5"/>
    </row>
    <row r="240" spans="1:19" x14ac:dyDescent="0.25">
      <c r="A240" s="4" t="s">
        <v>17</v>
      </c>
      <c r="B240" s="35" t="s">
        <v>37</v>
      </c>
      <c r="C240" s="5" t="s">
        <v>38</v>
      </c>
      <c r="D240" s="15" t="s">
        <v>39</v>
      </c>
      <c r="E240" s="5">
        <f t="shared" si="31"/>
        <v>2050</v>
      </c>
      <c r="F240" s="5">
        <f>G193</f>
        <v>-5866</v>
      </c>
      <c r="G240" s="5">
        <f t="shared" si="30"/>
        <v>-7916</v>
      </c>
      <c r="H240" s="139"/>
      <c r="I240" s="47">
        <v>46107</v>
      </c>
      <c r="J240" s="7" t="s">
        <v>56</v>
      </c>
      <c r="K240" s="47">
        <v>46112</v>
      </c>
      <c r="L240" s="35" t="s">
        <v>152</v>
      </c>
      <c r="M240" s="5">
        <v>3190</v>
      </c>
      <c r="N240" s="5"/>
      <c r="O240" s="5"/>
      <c r="P240" s="5"/>
      <c r="Q240" s="5"/>
      <c r="R240" s="5"/>
      <c r="S240" s="5"/>
    </row>
    <row r="241" spans="1:19" x14ac:dyDescent="0.25">
      <c r="A241" s="4" t="s">
        <v>30</v>
      </c>
      <c r="B241" s="35"/>
      <c r="C241" s="5"/>
      <c r="D241" s="14"/>
      <c r="E241" s="5">
        <f t="shared" si="31"/>
        <v>50</v>
      </c>
      <c r="F241" s="5">
        <f>G217</f>
        <v>-52.5</v>
      </c>
      <c r="G241" s="5">
        <f t="shared" si="30"/>
        <v>-102.5</v>
      </c>
      <c r="H241" s="139"/>
      <c r="I241" s="47">
        <v>46112</v>
      </c>
      <c r="J241" s="7" t="s">
        <v>56</v>
      </c>
      <c r="K241" s="47">
        <v>46119</v>
      </c>
      <c r="L241" s="26" t="s">
        <v>120</v>
      </c>
      <c r="M241" s="5"/>
      <c r="N241" s="5"/>
      <c r="O241" s="5"/>
      <c r="P241" s="5"/>
      <c r="Q241" s="5"/>
      <c r="R241" s="5"/>
      <c r="S241" s="5"/>
    </row>
    <row r="242" spans="1:19" x14ac:dyDescent="0.25">
      <c r="A242" s="4" t="s">
        <v>110</v>
      </c>
      <c r="B242" s="98" t="s">
        <v>111</v>
      </c>
      <c r="C242" s="100" t="s">
        <v>63</v>
      </c>
      <c r="D242" s="14"/>
      <c r="E242" s="5">
        <f t="shared" si="31"/>
        <v>2000</v>
      </c>
      <c r="F242" s="5">
        <f>G171</f>
        <v>0</v>
      </c>
      <c r="G242" s="5">
        <f t="shared" si="30"/>
        <v>-2000</v>
      </c>
      <c r="H242" s="139"/>
      <c r="I242" s="47">
        <v>46107</v>
      </c>
      <c r="J242" s="7" t="s">
        <v>56</v>
      </c>
      <c r="K242" s="47">
        <v>46112</v>
      </c>
      <c r="L242" s="26" t="s">
        <v>120</v>
      </c>
      <c r="M242" s="5"/>
      <c r="N242" s="5"/>
      <c r="O242" s="5"/>
      <c r="P242" s="5"/>
      <c r="Q242" s="5"/>
      <c r="R242" s="5"/>
      <c r="S242" s="5"/>
    </row>
    <row r="243" spans="1:19" x14ac:dyDescent="0.25">
      <c r="A243" s="4" t="s">
        <v>109</v>
      </c>
      <c r="B243" s="99"/>
      <c r="C243" s="101"/>
      <c r="D243" s="14"/>
      <c r="E243" s="5">
        <f t="shared" si="31"/>
        <v>2000</v>
      </c>
      <c r="F243" s="5">
        <f>G172</f>
        <v>-1720</v>
      </c>
      <c r="G243" s="5">
        <f t="shared" si="30"/>
        <v>-3720</v>
      </c>
      <c r="H243" s="139"/>
      <c r="I243" s="47">
        <v>46107</v>
      </c>
      <c r="J243" s="7" t="s">
        <v>56</v>
      </c>
      <c r="K243" s="47">
        <v>46112</v>
      </c>
      <c r="L243" s="26" t="s">
        <v>120</v>
      </c>
      <c r="M243" s="5"/>
      <c r="N243" s="5"/>
      <c r="O243" s="5"/>
      <c r="P243" s="5"/>
      <c r="Q243" s="5"/>
      <c r="R243" s="5"/>
      <c r="S243" s="5"/>
    </row>
    <row r="244" spans="1:19" x14ac:dyDescent="0.25">
      <c r="A244" s="4" t="s">
        <v>65</v>
      </c>
      <c r="B244" s="35" t="s">
        <v>66</v>
      </c>
      <c r="C244" s="5"/>
      <c r="D244" s="14"/>
      <c r="E244" s="5">
        <f t="shared" si="31"/>
        <v>190</v>
      </c>
      <c r="F244" s="5">
        <f>G221</f>
        <v>-273.52</v>
      </c>
      <c r="G244" s="5">
        <f t="shared" si="30"/>
        <v>-463.52</v>
      </c>
      <c r="H244" s="139"/>
      <c r="I244" s="47">
        <v>46112</v>
      </c>
      <c r="J244" s="7" t="s">
        <v>56</v>
      </c>
      <c r="K244" s="47">
        <v>46119</v>
      </c>
      <c r="L244" s="26" t="s">
        <v>120</v>
      </c>
      <c r="M244" s="5"/>
      <c r="N244" s="5"/>
      <c r="O244" s="5"/>
      <c r="P244" s="5"/>
      <c r="Q244" s="5"/>
      <c r="R244" s="5"/>
      <c r="S244" s="5"/>
    </row>
    <row r="245" spans="1:19" x14ac:dyDescent="0.25">
      <c r="A245" s="4" t="s">
        <v>72</v>
      </c>
      <c r="B245" s="35" t="s">
        <v>43</v>
      </c>
      <c r="C245" s="5"/>
      <c r="D245" s="14"/>
      <c r="E245" s="5">
        <v>67</v>
      </c>
      <c r="F245" s="5"/>
      <c r="G245" s="5">
        <f t="shared" si="30"/>
        <v>-67</v>
      </c>
      <c r="H245" s="140"/>
      <c r="I245" s="47">
        <v>46112</v>
      </c>
      <c r="J245" s="7" t="s">
        <v>56</v>
      </c>
      <c r="K245" s="47">
        <v>46119</v>
      </c>
      <c r="L245" s="26" t="s">
        <v>120</v>
      </c>
      <c r="M245" s="5"/>
      <c r="N245" s="5"/>
      <c r="O245" s="5"/>
      <c r="P245" s="5"/>
      <c r="Q245" s="5"/>
      <c r="R245" s="5"/>
      <c r="S245" s="5"/>
    </row>
    <row r="247" spans="1:19" x14ac:dyDescent="0.25">
      <c r="A247" s="1" t="s">
        <v>28</v>
      </c>
      <c r="C247" s="2" t="s">
        <v>141</v>
      </c>
    </row>
    <row r="248" spans="1:19" s="11" customFormat="1" ht="30" x14ac:dyDescent="0.25">
      <c r="A248" s="9" t="s">
        <v>42</v>
      </c>
      <c r="B248" s="34" t="s">
        <v>2</v>
      </c>
      <c r="C248" s="9" t="s">
        <v>13</v>
      </c>
      <c r="D248" s="13" t="s">
        <v>14</v>
      </c>
      <c r="E248" s="9" t="s">
        <v>4</v>
      </c>
      <c r="F248" s="10" t="s">
        <v>94</v>
      </c>
      <c r="G248" s="10" t="s">
        <v>103</v>
      </c>
      <c r="H248" s="9" t="s">
        <v>34</v>
      </c>
      <c r="I248" s="9" t="s">
        <v>11</v>
      </c>
      <c r="J248" s="10" t="s">
        <v>58</v>
      </c>
      <c r="K248" s="10" t="s">
        <v>177</v>
      </c>
      <c r="L248" s="9" t="s">
        <v>8</v>
      </c>
      <c r="M248" s="9" t="s">
        <v>7</v>
      </c>
      <c r="N248" s="9" t="s">
        <v>31</v>
      </c>
      <c r="O248" s="9" t="s">
        <v>32</v>
      </c>
      <c r="P248" s="9" t="s">
        <v>29</v>
      </c>
      <c r="Q248" s="9" t="s">
        <v>33</v>
      </c>
      <c r="R248" s="9" t="s">
        <v>26</v>
      </c>
      <c r="S248" s="9" t="s">
        <v>27</v>
      </c>
    </row>
    <row r="249" spans="1:19" x14ac:dyDescent="0.25">
      <c r="A249" s="4" t="s">
        <v>0</v>
      </c>
      <c r="B249" s="35" t="s">
        <v>45</v>
      </c>
      <c r="C249" s="5"/>
      <c r="D249" s="14"/>
      <c r="E249" s="5">
        <v>15000</v>
      </c>
      <c r="F249" s="5">
        <f>G226</f>
        <v>-38091</v>
      </c>
      <c r="G249" s="5">
        <f>F249-E249</f>
        <v>-53091</v>
      </c>
      <c r="H249" s="119">
        <v>46010</v>
      </c>
      <c r="I249" s="48">
        <v>46094</v>
      </c>
      <c r="J249" s="5" t="s">
        <v>169</v>
      </c>
      <c r="K249" s="5" t="s">
        <v>170</v>
      </c>
      <c r="L249" s="26" t="s">
        <v>206</v>
      </c>
      <c r="M249" s="5">
        <v>100000</v>
      </c>
      <c r="N249" s="5" t="s">
        <v>89</v>
      </c>
      <c r="O249" s="5"/>
      <c r="P249" s="5"/>
      <c r="Q249" s="5"/>
      <c r="R249" s="5"/>
      <c r="S249" s="5"/>
    </row>
    <row r="250" spans="1:19" x14ac:dyDescent="0.25">
      <c r="A250" s="4" t="s">
        <v>131</v>
      </c>
      <c r="B250" s="35" t="s">
        <v>45</v>
      </c>
      <c r="C250" s="43"/>
      <c r="D250" s="44"/>
      <c r="E250" s="5">
        <f>2.05*1000</f>
        <v>2050</v>
      </c>
      <c r="F250" s="5">
        <f>G203</f>
        <v>-741</v>
      </c>
      <c r="G250" s="5">
        <f>F250-E250</f>
        <v>-2791</v>
      </c>
      <c r="H250" s="139"/>
      <c r="I250" s="48">
        <v>46094</v>
      </c>
      <c r="J250" s="5" t="s">
        <v>169</v>
      </c>
      <c r="K250" s="5" t="s">
        <v>170</v>
      </c>
      <c r="L250" s="26" t="s">
        <v>206</v>
      </c>
      <c r="M250" s="5">
        <v>5000</v>
      </c>
      <c r="N250" s="5" t="s">
        <v>49</v>
      </c>
      <c r="O250" s="5"/>
      <c r="P250" s="5"/>
      <c r="Q250" s="5"/>
      <c r="R250" s="5"/>
      <c r="S250" s="5"/>
    </row>
    <row r="251" spans="1:19" x14ac:dyDescent="0.25">
      <c r="A251" s="4" t="s">
        <v>129</v>
      </c>
      <c r="B251" s="35" t="s">
        <v>45</v>
      </c>
      <c r="C251" s="43"/>
      <c r="D251" s="44"/>
      <c r="E251" s="5">
        <f>2.05*1000</f>
        <v>2050</v>
      </c>
      <c r="F251" s="5">
        <f>G228</f>
        <v>-8821</v>
      </c>
      <c r="G251" s="5">
        <f t="shared" ref="G251:G252" si="32">F251-E251</f>
        <v>-10871</v>
      </c>
      <c r="H251" s="139"/>
      <c r="I251" s="48">
        <v>46094</v>
      </c>
      <c r="J251" s="5" t="s">
        <v>169</v>
      </c>
      <c r="K251" s="5" t="s">
        <v>170</v>
      </c>
      <c r="L251" s="26" t="s">
        <v>206</v>
      </c>
      <c r="M251" s="5">
        <v>8500</v>
      </c>
      <c r="N251" s="5" t="s">
        <v>49</v>
      </c>
      <c r="O251" s="5"/>
      <c r="P251" s="5"/>
      <c r="Q251" s="5"/>
      <c r="R251" s="5"/>
      <c r="S251" s="5"/>
    </row>
    <row r="252" spans="1:19" x14ac:dyDescent="0.25">
      <c r="A252" s="4" t="s">
        <v>130</v>
      </c>
      <c r="B252" s="35" t="s">
        <v>45</v>
      </c>
      <c r="C252" s="43"/>
      <c r="D252" s="44"/>
      <c r="E252" s="5">
        <v>1000</v>
      </c>
      <c r="F252" s="5">
        <f t="shared" ref="F252" si="33">G205</f>
        <v>-652</v>
      </c>
      <c r="G252" s="5">
        <f t="shared" si="32"/>
        <v>-1652</v>
      </c>
      <c r="H252" s="139"/>
      <c r="I252" s="48">
        <v>46094</v>
      </c>
      <c r="J252" s="5" t="s">
        <v>169</v>
      </c>
      <c r="K252" s="5" t="s">
        <v>170</v>
      </c>
      <c r="L252" s="26" t="s">
        <v>206</v>
      </c>
      <c r="M252" s="5">
        <v>3000</v>
      </c>
      <c r="N252" s="5" t="s">
        <v>49</v>
      </c>
      <c r="O252" s="5"/>
      <c r="P252" s="5"/>
      <c r="Q252" s="5"/>
      <c r="R252" s="5"/>
      <c r="S252" s="5"/>
    </row>
    <row r="253" spans="1:19" x14ac:dyDescent="0.25">
      <c r="A253" s="4" t="s">
        <v>105</v>
      </c>
      <c r="B253" s="98" t="s">
        <v>35</v>
      </c>
      <c r="C253" s="100" t="s">
        <v>12</v>
      </c>
      <c r="D253" s="102" t="s">
        <v>15</v>
      </c>
      <c r="E253" s="5">
        <v>1000</v>
      </c>
      <c r="F253" s="5">
        <f>G230</f>
        <v>-3440</v>
      </c>
      <c r="G253" s="5">
        <f t="shared" ref="G253:G268" si="34">F253-E253</f>
        <v>-4440</v>
      </c>
      <c r="H253" s="139"/>
      <c r="I253" s="59">
        <v>46087</v>
      </c>
      <c r="J253" s="7" t="s">
        <v>56</v>
      </c>
      <c r="K253" s="47">
        <v>46094</v>
      </c>
      <c r="L253" s="35" t="s">
        <v>192</v>
      </c>
      <c r="M253" s="5"/>
      <c r="N253" s="5" t="s">
        <v>89</v>
      </c>
      <c r="O253" s="5"/>
      <c r="P253" s="5"/>
      <c r="Q253" s="5"/>
      <c r="R253" s="5"/>
      <c r="S253" s="5"/>
    </row>
    <row r="254" spans="1:19" x14ac:dyDescent="0.25">
      <c r="A254" s="4" t="s">
        <v>59</v>
      </c>
      <c r="B254" s="105"/>
      <c r="C254" s="104"/>
      <c r="D254" s="103"/>
      <c r="E254" s="5">
        <v>118</v>
      </c>
      <c r="F254" s="5">
        <f>G231</f>
        <v>102.51999999999998</v>
      </c>
      <c r="G254" s="5">
        <f t="shared" si="34"/>
        <v>-15.480000000000018</v>
      </c>
      <c r="H254" s="139"/>
      <c r="I254" s="59">
        <v>46087</v>
      </c>
      <c r="J254" s="7" t="s">
        <v>56</v>
      </c>
      <c r="K254" s="47">
        <v>46094</v>
      </c>
      <c r="L254" s="35" t="s">
        <v>192</v>
      </c>
      <c r="M254" s="5"/>
      <c r="N254" s="5" t="s">
        <v>89</v>
      </c>
      <c r="O254" s="5"/>
      <c r="P254" s="5"/>
      <c r="Q254" s="5"/>
      <c r="R254" s="5"/>
      <c r="S254" s="5"/>
    </row>
    <row r="255" spans="1:19" x14ac:dyDescent="0.25">
      <c r="A255" s="4" t="s">
        <v>175</v>
      </c>
      <c r="B255" s="99"/>
      <c r="C255" s="101"/>
      <c r="D255" s="29"/>
      <c r="E255" s="5">
        <f>(0.38*0.935)*1000</f>
        <v>355.3</v>
      </c>
      <c r="F255" s="5">
        <f>G232</f>
        <v>-761.90000000000009</v>
      </c>
      <c r="G255" s="5">
        <f t="shared" si="34"/>
        <v>-1117.2</v>
      </c>
      <c r="H255" s="139"/>
      <c r="I255" s="59">
        <v>46087</v>
      </c>
      <c r="J255" s="7" t="s">
        <v>56</v>
      </c>
      <c r="K255" s="47">
        <v>46094</v>
      </c>
      <c r="L255" s="35" t="s">
        <v>192</v>
      </c>
      <c r="M255" s="5"/>
      <c r="N255" s="43"/>
      <c r="O255" s="43"/>
      <c r="P255" s="5"/>
      <c r="Q255" s="43"/>
      <c r="R255" s="5"/>
      <c r="S255" s="5"/>
    </row>
    <row r="256" spans="1:19" s="65" customFormat="1" ht="30" x14ac:dyDescent="0.25">
      <c r="A256" s="61" t="s">
        <v>184</v>
      </c>
      <c r="B256" s="50" t="s">
        <v>123</v>
      </c>
      <c r="C256" s="49"/>
      <c r="D256" s="29"/>
      <c r="E256" s="62">
        <f>((0.365*0.555)*5)*2000</f>
        <v>2025.75</v>
      </c>
      <c r="F256" s="7">
        <v>0</v>
      </c>
      <c r="G256" s="7">
        <f t="shared" si="34"/>
        <v>-2025.75</v>
      </c>
      <c r="H256" s="139"/>
      <c r="I256" s="59">
        <v>46051</v>
      </c>
      <c r="J256" s="7" t="s">
        <v>56</v>
      </c>
      <c r="K256" s="60" t="s">
        <v>186</v>
      </c>
      <c r="L256" s="63" t="s">
        <v>185</v>
      </c>
      <c r="M256" s="7">
        <v>6858</v>
      </c>
      <c r="N256" s="21" t="s">
        <v>89</v>
      </c>
      <c r="O256" s="7"/>
      <c r="P256" s="7"/>
      <c r="Q256" s="64"/>
      <c r="R256" s="7"/>
      <c r="S256" s="7"/>
    </row>
    <row r="257" spans="1:19" x14ac:dyDescent="0.25">
      <c r="A257" s="4" t="s">
        <v>47</v>
      </c>
      <c r="B257" s="98" t="s">
        <v>36</v>
      </c>
      <c r="C257" s="100" t="s">
        <v>41</v>
      </c>
      <c r="D257" s="146" t="s">
        <v>40</v>
      </c>
      <c r="E257" s="5">
        <v>703</v>
      </c>
      <c r="F257" s="5">
        <f t="shared" ref="F257:F267" si="35">G234</f>
        <v>-1406</v>
      </c>
      <c r="G257" s="5">
        <f t="shared" si="34"/>
        <v>-2109</v>
      </c>
      <c r="H257" s="139"/>
      <c r="I257" s="119">
        <v>46051</v>
      </c>
      <c r="J257" s="100" t="s">
        <v>56</v>
      </c>
      <c r="K257" s="115">
        <v>46056</v>
      </c>
      <c r="L257" s="100" t="s">
        <v>52</v>
      </c>
      <c r="M257" s="5">
        <v>2850</v>
      </c>
      <c r="N257" s="100" t="s">
        <v>89</v>
      </c>
      <c r="O257" s="106" t="s">
        <v>91</v>
      </c>
      <c r="P257" s="5" t="s">
        <v>54</v>
      </c>
      <c r="Q257" s="111">
        <v>46106</v>
      </c>
      <c r="R257" s="8">
        <v>46148</v>
      </c>
      <c r="S257" s="8" t="s">
        <v>166</v>
      </c>
    </row>
    <row r="258" spans="1:19" x14ac:dyDescent="0.25">
      <c r="A258" s="4" t="s">
        <v>48</v>
      </c>
      <c r="B258" s="99"/>
      <c r="C258" s="101"/>
      <c r="D258" s="147"/>
      <c r="E258" s="5">
        <v>1054.5</v>
      </c>
      <c r="F258" s="5">
        <f t="shared" si="35"/>
        <v>-2109</v>
      </c>
      <c r="G258" s="5">
        <f t="shared" si="34"/>
        <v>-3163.5</v>
      </c>
      <c r="H258" s="139"/>
      <c r="I258" s="101"/>
      <c r="J258" s="101"/>
      <c r="K258" s="116"/>
      <c r="L258" s="101"/>
      <c r="M258" s="6">
        <v>3750</v>
      </c>
      <c r="N258" s="101"/>
      <c r="O258" s="107"/>
      <c r="P258" s="5" t="s">
        <v>54</v>
      </c>
      <c r="Q258" s="112"/>
      <c r="R258" s="5"/>
      <c r="S258" s="5"/>
    </row>
    <row r="259" spans="1:19" x14ac:dyDescent="0.25">
      <c r="A259" s="4" t="s">
        <v>47</v>
      </c>
      <c r="B259" s="98" t="s">
        <v>93</v>
      </c>
      <c r="C259" s="100" t="s">
        <v>88</v>
      </c>
      <c r="D259" s="16"/>
      <c r="E259" s="100">
        <f>E258+E257</f>
        <v>1757.5</v>
      </c>
      <c r="F259" s="5"/>
      <c r="G259" s="5"/>
      <c r="H259" s="139"/>
      <c r="I259" s="113">
        <v>46062</v>
      </c>
      <c r="J259" s="100" t="s">
        <v>56</v>
      </c>
      <c r="K259" s="115">
        <v>46064</v>
      </c>
      <c r="L259" s="117" t="s">
        <v>90</v>
      </c>
      <c r="M259" s="5">
        <v>2250</v>
      </c>
      <c r="N259" s="21" t="s">
        <v>49</v>
      </c>
      <c r="O259" s="106" t="s">
        <v>81</v>
      </c>
      <c r="P259" s="5" t="s">
        <v>54</v>
      </c>
      <c r="Q259" s="24">
        <v>46086</v>
      </c>
      <c r="R259" s="5"/>
      <c r="S259" s="5"/>
    </row>
    <row r="260" spans="1:19" x14ac:dyDescent="0.25">
      <c r="A260" s="4" t="s">
        <v>48</v>
      </c>
      <c r="B260" s="99"/>
      <c r="C260" s="101"/>
      <c r="D260" s="16"/>
      <c r="E260" s="101"/>
      <c r="F260" s="5"/>
      <c r="G260" s="5"/>
      <c r="H260" s="139"/>
      <c r="I260" s="114"/>
      <c r="J260" s="101"/>
      <c r="K260" s="116"/>
      <c r="L260" s="118"/>
      <c r="M260" s="6">
        <f>6300-M259</f>
        <v>4050</v>
      </c>
      <c r="N260" s="21" t="s">
        <v>89</v>
      </c>
      <c r="O260" s="107"/>
      <c r="P260" s="5" t="s">
        <v>54</v>
      </c>
      <c r="Q260" s="24">
        <v>46106</v>
      </c>
      <c r="R260" s="5"/>
      <c r="S260" s="5"/>
    </row>
    <row r="261" spans="1:19" x14ac:dyDescent="0.25">
      <c r="A261" s="4" t="s">
        <v>3</v>
      </c>
      <c r="B261" s="98" t="s">
        <v>176</v>
      </c>
      <c r="C261" s="100"/>
      <c r="D261" s="100"/>
      <c r="E261" s="5">
        <v>2</v>
      </c>
      <c r="F261" s="5">
        <f t="shared" si="35"/>
        <v>9.6200000000000081</v>
      </c>
      <c r="G261" s="5">
        <f t="shared" si="34"/>
        <v>7.6200000000000081</v>
      </c>
      <c r="H261" s="139"/>
      <c r="I261" s="59">
        <v>46087</v>
      </c>
      <c r="J261" s="7" t="s">
        <v>56</v>
      </c>
      <c r="K261" s="68">
        <v>46091</v>
      </c>
      <c r="L261" s="35" t="s">
        <v>151</v>
      </c>
      <c r="M261" s="5">
        <v>40</v>
      </c>
      <c r="N261" s="21" t="s">
        <v>89</v>
      </c>
      <c r="O261" s="5"/>
      <c r="P261" s="5"/>
      <c r="Q261" s="8"/>
      <c r="R261" s="5"/>
      <c r="S261" s="5"/>
    </row>
    <row r="262" spans="1:19" x14ac:dyDescent="0.25">
      <c r="A262" s="4" t="s">
        <v>67</v>
      </c>
      <c r="B262" s="99"/>
      <c r="C262" s="101"/>
      <c r="D262" s="101"/>
      <c r="E262" s="5">
        <v>25</v>
      </c>
      <c r="F262" s="5">
        <f t="shared" si="35"/>
        <v>-87.76</v>
      </c>
      <c r="G262" s="5">
        <f t="shared" si="34"/>
        <v>-112.76</v>
      </c>
      <c r="H262" s="139"/>
      <c r="I262" s="59">
        <v>46087</v>
      </c>
      <c r="J262" s="7" t="s">
        <v>56</v>
      </c>
      <c r="K262" s="68">
        <v>46091</v>
      </c>
      <c r="L262" s="35" t="s">
        <v>151</v>
      </c>
      <c r="M262" s="5">
        <v>281</v>
      </c>
      <c r="N262" s="21" t="s">
        <v>89</v>
      </c>
      <c r="O262" s="5"/>
      <c r="P262" s="5"/>
      <c r="Q262" s="5"/>
      <c r="R262" s="5"/>
      <c r="S262" s="5"/>
    </row>
    <row r="263" spans="1:19" x14ac:dyDescent="0.25">
      <c r="A263" s="4" t="s">
        <v>17</v>
      </c>
      <c r="B263" s="35" t="s">
        <v>37</v>
      </c>
      <c r="C263" s="5" t="s">
        <v>38</v>
      </c>
      <c r="D263" s="15" t="s">
        <v>39</v>
      </c>
      <c r="E263" s="5">
        <v>1025</v>
      </c>
      <c r="F263" s="5">
        <f t="shared" si="35"/>
        <v>-7916</v>
      </c>
      <c r="G263" s="5">
        <f t="shared" si="34"/>
        <v>-8941</v>
      </c>
      <c r="H263" s="139"/>
      <c r="I263" s="59">
        <v>46107</v>
      </c>
      <c r="J263" s="7" t="s">
        <v>56</v>
      </c>
      <c r="K263" s="47">
        <v>46112</v>
      </c>
      <c r="L263" s="35" t="s">
        <v>152</v>
      </c>
      <c r="M263" s="5">
        <v>3190</v>
      </c>
      <c r="N263" s="5"/>
      <c r="O263" s="5"/>
      <c r="P263" s="5"/>
      <c r="Q263" s="5"/>
      <c r="R263" s="5"/>
      <c r="S263" s="5"/>
    </row>
    <row r="264" spans="1:19" x14ac:dyDescent="0.25">
      <c r="A264" s="4" t="s">
        <v>30</v>
      </c>
      <c r="B264" s="35"/>
      <c r="C264" s="5"/>
      <c r="D264" s="14"/>
      <c r="E264" s="5">
        <v>25</v>
      </c>
      <c r="F264" s="5">
        <f t="shared" si="35"/>
        <v>-102.5</v>
      </c>
      <c r="G264" s="5">
        <f t="shared" si="34"/>
        <v>-127.5</v>
      </c>
      <c r="H264" s="139"/>
      <c r="I264" s="47">
        <v>46112</v>
      </c>
      <c r="J264" s="7" t="s">
        <v>56</v>
      </c>
      <c r="K264" s="47">
        <v>46119</v>
      </c>
      <c r="L264" s="26" t="s">
        <v>120</v>
      </c>
      <c r="M264" s="5"/>
      <c r="N264" s="5"/>
      <c r="O264" s="5"/>
      <c r="P264" s="5"/>
      <c r="Q264" s="5"/>
      <c r="R264" s="5"/>
      <c r="S264" s="5"/>
    </row>
    <row r="265" spans="1:19" x14ac:dyDescent="0.25">
      <c r="A265" s="4" t="s">
        <v>110</v>
      </c>
      <c r="B265" s="98" t="s">
        <v>111</v>
      </c>
      <c r="C265" s="100" t="s">
        <v>63</v>
      </c>
      <c r="D265" s="14"/>
      <c r="E265" s="5">
        <v>1000</v>
      </c>
      <c r="F265" s="5">
        <f t="shared" si="35"/>
        <v>-2000</v>
      </c>
      <c r="G265" s="5">
        <f t="shared" si="34"/>
        <v>-3000</v>
      </c>
      <c r="H265" s="139"/>
      <c r="I265" s="47">
        <v>46107</v>
      </c>
      <c r="J265" s="7" t="s">
        <v>56</v>
      </c>
      <c r="K265" s="47">
        <v>46112</v>
      </c>
      <c r="L265" s="26" t="s">
        <v>120</v>
      </c>
      <c r="M265" s="5"/>
      <c r="N265" s="5"/>
      <c r="O265" s="5"/>
      <c r="P265" s="5"/>
      <c r="Q265" s="5"/>
      <c r="R265" s="5"/>
      <c r="S265" s="5"/>
    </row>
    <row r="266" spans="1:19" x14ac:dyDescent="0.25">
      <c r="A266" s="4" t="s">
        <v>109</v>
      </c>
      <c r="B266" s="99"/>
      <c r="C266" s="101"/>
      <c r="D266" s="14"/>
      <c r="E266" s="5">
        <v>1000</v>
      </c>
      <c r="F266" s="5">
        <f t="shared" si="35"/>
        <v>-3720</v>
      </c>
      <c r="G266" s="5">
        <f t="shared" si="34"/>
        <v>-4720</v>
      </c>
      <c r="H266" s="139"/>
      <c r="I266" s="47">
        <v>46107</v>
      </c>
      <c r="J266" s="7" t="s">
        <v>56</v>
      </c>
      <c r="K266" s="47">
        <v>46112</v>
      </c>
      <c r="L266" s="26" t="s">
        <v>120</v>
      </c>
      <c r="M266" s="5"/>
      <c r="N266" s="5"/>
      <c r="O266" s="5"/>
      <c r="P266" s="5"/>
      <c r="Q266" s="5"/>
      <c r="R266" s="5"/>
      <c r="S266" s="5"/>
    </row>
    <row r="267" spans="1:19" x14ac:dyDescent="0.25">
      <c r="A267" s="4" t="s">
        <v>65</v>
      </c>
      <c r="B267" s="35" t="s">
        <v>66</v>
      </c>
      <c r="C267" s="5"/>
      <c r="D267" s="14"/>
      <c r="E267" s="5">
        <v>95</v>
      </c>
      <c r="F267" s="5">
        <f t="shared" si="35"/>
        <v>-463.52</v>
      </c>
      <c r="G267" s="5">
        <f t="shared" si="34"/>
        <v>-558.52</v>
      </c>
      <c r="H267" s="139"/>
      <c r="I267" s="47">
        <v>46112</v>
      </c>
      <c r="J267" s="7" t="s">
        <v>56</v>
      </c>
      <c r="K267" s="47">
        <v>46119</v>
      </c>
      <c r="L267" s="26" t="s">
        <v>120</v>
      </c>
      <c r="M267" s="5"/>
      <c r="N267" s="5"/>
      <c r="O267" s="5"/>
      <c r="P267" s="5"/>
      <c r="Q267" s="5"/>
      <c r="R267" s="5"/>
      <c r="S267" s="5"/>
    </row>
    <row r="268" spans="1:19" x14ac:dyDescent="0.25">
      <c r="A268" s="4" t="s">
        <v>72</v>
      </c>
      <c r="B268" s="35" t="s">
        <v>43</v>
      </c>
      <c r="C268" s="5"/>
      <c r="D268" s="14"/>
      <c r="E268" s="5">
        <v>34</v>
      </c>
      <c r="F268" s="5"/>
      <c r="G268" s="5">
        <f t="shared" si="34"/>
        <v>-34</v>
      </c>
      <c r="H268" s="140"/>
      <c r="I268" s="47">
        <v>46112</v>
      </c>
      <c r="J268" s="7" t="s">
        <v>56</v>
      </c>
      <c r="K268" s="47">
        <v>46119</v>
      </c>
      <c r="L268" s="26" t="s">
        <v>120</v>
      </c>
      <c r="M268" s="5"/>
      <c r="N268" s="5"/>
      <c r="O268" s="5"/>
      <c r="P268" s="5"/>
      <c r="Q268" s="5"/>
      <c r="R268" s="5"/>
      <c r="S268" s="5"/>
    </row>
    <row r="270" spans="1:19" x14ac:dyDescent="0.25">
      <c r="A270" s="1" t="s">
        <v>21</v>
      </c>
      <c r="C270" s="2" t="s">
        <v>137</v>
      </c>
    </row>
    <row r="271" spans="1:19" s="11" customFormat="1" ht="30" x14ac:dyDescent="0.25">
      <c r="A271" s="9" t="s">
        <v>42</v>
      </c>
      <c r="B271" s="34" t="s">
        <v>2</v>
      </c>
      <c r="C271" s="9" t="s">
        <v>13</v>
      </c>
      <c r="D271" s="13" t="s">
        <v>14</v>
      </c>
      <c r="E271" s="9" t="s">
        <v>4</v>
      </c>
      <c r="F271" s="10" t="s">
        <v>94</v>
      </c>
      <c r="G271" s="10" t="s">
        <v>103</v>
      </c>
      <c r="H271" s="9" t="s">
        <v>34</v>
      </c>
      <c r="I271" s="9" t="s">
        <v>11</v>
      </c>
      <c r="J271" s="10" t="s">
        <v>58</v>
      </c>
      <c r="K271" s="10" t="s">
        <v>177</v>
      </c>
      <c r="L271" s="9" t="s">
        <v>8</v>
      </c>
      <c r="M271" s="9" t="s">
        <v>7</v>
      </c>
      <c r="N271" s="9" t="s">
        <v>31</v>
      </c>
      <c r="O271" s="9" t="s">
        <v>32</v>
      </c>
      <c r="P271" s="9" t="s">
        <v>29</v>
      </c>
      <c r="Q271" s="9" t="s">
        <v>33</v>
      </c>
      <c r="R271" s="9" t="s">
        <v>26</v>
      </c>
      <c r="S271" s="9" t="s">
        <v>27</v>
      </c>
    </row>
    <row r="272" spans="1:19" x14ac:dyDescent="0.25">
      <c r="A272" s="4" t="s">
        <v>0</v>
      </c>
      <c r="B272" s="35" t="s">
        <v>45</v>
      </c>
      <c r="C272" s="5"/>
      <c r="D272" s="14"/>
      <c r="E272" s="5">
        <v>48000</v>
      </c>
      <c r="F272" s="5">
        <f>G249</f>
        <v>-53091</v>
      </c>
      <c r="G272" s="5">
        <f>F272-E272</f>
        <v>-101091</v>
      </c>
      <c r="H272" s="119">
        <v>45744</v>
      </c>
      <c r="I272" s="48" t="s">
        <v>146</v>
      </c>
      <c r="J272" s="5"/>
      <c r="K272" s="28"/>
      <c r="L272" s="26" t="s">
        <v>120</v>
      </c>
      <c r="M272" s="5">
        <v>100000</v>
      </c>
      <c r="N272" s="5" t="s">
        <v>89</v>
      </c>
      <c r="O272" s="5"/>
      <c r="P272" s="5"/>
      <c r="Q272" s="5"/>
      <c r="R272" s="5"/>
      <c r="S272" s="5"/>
    </row>
    <row r="273" spans="1:19" x14ac:dyDescent="0.25">
      <c r="A273" s="4" t="s">
        <v>197</v>
      </c>
      <c r="B273" s="98" t="s">
        <v>35</v>
      </c>
      <c r="C273" s="100" t="s">
        <v>12</v>
      </c>
      <c r="D273" s="102" t="s">
        <v>15</v>
      </c>
      <c r="E273" s="5">
        <v>1500</v>
      </c>
      <c r="F273" s="5">
        <v>0</v>
      </c>
      <c r="G273" s="5">
        <f t="shared" ref="G273:G275" si="36">F273-E273</f>
        <v>-1500</v>
      </c>
      <c r="H273" s="139"/>
      <c r="I273" s="48" t="s">
        <v>146</v>
      </c>
      <c r="J273" s="5" t="s">
        <v>56</v>
      </c>
      <c r="K273" s="48" t="s">
        <v>146</v>
      </c>
      <c r="L273" s="30" t="s">
        <v>147</v>
      </c>
      <c r="M273" s="5">
        <v>1550</v>
      </c>
      <c r="N273" s="5" t="s">
        <v>89</v>
      </c>
      <c r="O273" s="5"/>
      <c r="P273" s="5"/>
      <c r="Q273" s="8">
        <v>46106</v>
      </c>
      <c r="R273" s="5"/>
      <c r="S273" s="5"/>
    </row>
    <row r="274" spans="1:19" x14ac:dyDescent="0.25">
      <c r="A274" s="4" t="s">
        <v>198</v>
      </c>
      <c r="B274" s="105"/>
      <c r="C274" s="104"/>
      <c r="D274" s="148"/>
      <c r="E274" s="5">
        <v>986.7</v>
      </c>
      <c r="F274" s="5">
        <v>0</v>
      </c>
      <c r="G274" s="5">
        <f t="shared" si="36"/>
        <v>-986.7</v>
      </c>
      <c r="H274" s="139"/>
      <c r="I274" s="48" t="s">
        <v>146</v>
      </c>
      <c r="J274" s="5" t="s">
        <v>56</v>
      </c>
      <c r="K274" s="48" t="s">
        <v>146</v>
      </c>
      <c r="L274" s="30" t="s">
        <v>147</v>
      </c>
      <c r="M274" s="5">
        <v>1140</v>
      </c>
      <c r="N274" s="5" t="s">
        <v>89</v>
      </c>
      <c r="O274" s="5"/>
      <c r="P274" s="5"/>
      <c r="Q274" s="8">
        <v>46106</v>
      </c>
      <c r="R274" s="8">
        <v>46153</v>
      </c>
      <c r="S274" s="8" t="s">
        <v>167</v>
      </c>
    </row>
    <row r="275" spans="1:19" x14ac:dyDescent="0.25">
      <c r="A275" s="4" t="s">
        <v>59</v>
      </c>
      <c r="B275" s="99"/>
      <c r="C275" s="101"/>
      <c r="D275" s="103"/>
      <c r="E275" s="5">
        <v>87.3</v>
      </c>
      <c r="F275" s="5">
        <f>G254</f>
        <v>-15.480000000000018</v>
      </c>
      <c r="G275" s="5">
        <f t="shared" si="36"/>
        <v>-102.78000000000002</v>
      </c>
      <c r="H275" s="139"/>
      <c r="I275" s="127" t="s">
        <v>60</v>
      </c>
      <c r="J275" s="128"/>
      <c r="K275" s="128"/>
      <c r="L275" s="128"/>
      <c r="M275" s="128"/>
      <c r="N275" s="128"/>
      <c r="O275" s="128"/>
      <c r="P275" s="128"/>
      <c r="Q275" s="129"/>
      <c r="R275" s="5"/>
      <c r="S275" s="5"/>
    </row>
    <row r="276" spans="1:19" x14ac:dyDescent="0.25">
      <c r="A276" s="32" t="s">
        <v>106</v>
      </c>
      <c r="B276" s="36" t="s">
        <v>123</v>
      </c>
      <c r="C276" s="27"/>
      <c r="D276" s="31"/>
      <c r="E276" s="5">
        <v>4923</v>
      </c>
      <c r="F276" s="5">
        <v>0</v>
      </c>
      <c r="G276" s="5">
        <f>F276-E276</f>
        <v>-4923</v>
      </c>
      <c r="H276" s="139"/>
      <c r="I276" s="48" t="s">
        <v>146</v>
      </c>
      <c r="J276" s="5" t="s">
        <v>126</v>
      </c>
      <c r="K276" s="46" t="s">
        <v>125</v>
      </c>
      <c r="L276" s="5" t="s">
        <v>124</v>
      </c>
      <c r="M276" s="5">
        <v>6860</v>
      </c>
      <c r="N276" s="5" t="s">
        <v>89</v>
      </c>
      <c r="O276" s="5"/>
      <c r="P276" s="5"/>
      <c r="Q276" s="5"/>
      <c r="R276" s="5"/>
      <c r="S276" s="5"/>
    </row>
    <row r="277" spans="1:19" x14ac:dyDescent="0.25">
      <c r="A277" s="32" t="s">
        <v>173</v>
      </c>
      <c r="B277" s="36" t="s">
        <v>149</v>
      </c>
      <c r="C277" s="27"/>
      <c r="D277" s="31"/>
      <c r="E277" s="5"/>
      <c r="F277" s="5"/>
      <c r="G277" s="5"/>
      <c r="H277" s="139"/>
      <c r="I277" s="48" t="s">
        <v>146</v>
      </c>
      <c r="J277" s="5" t="s">
        <v>126</v>
      </c>
      <c r="K277" s="48" t="s">
        <v>146</v>
      </c>
      <c r="L277" s="30" t="s">
        <v>150</v>
      </c>
      <c r="M277" s="5"/>
      <c r="N277" s="5"/>
      <c r="O277" s="5"/>
      <c r="P277" s="5"/>
      <c r="Q277" s="5"/>
      <c r="R277" s="5"/>
      <c r="S277" s="5"/>
    </row>
    <row r="278" spans="1:19" x14ac:dyDescent="0.25">
      <c r="A278" s="4" t="s">
        <v>3</v>
      </c>
      <c r="B278" s="98" t="s">
        <v>176</v>
      </c>
      <c r="C278" s="100"/>
      <c r="D278" s="102"/>
      <c r="E278" s="5">
        <v>1.95</v>
      </c>
      <c r="F278" s="5">
        <f>G261</f>
        <v>7.6200000000000081</v>
      </c>
      <c r="G278" s="5">
        <f>F278-E278</f>
        <v>5.6700000000000079</v>
      </c>
      <c r="H278" s="139"/>
      <c r="I278" s="69">
        <v>46087</v>
      </c>
      <c r="J278" s="7" t="s">
        <v>56</v>
      </c>
      <c r="K278" s="67">
        <v>46091</v>
      </c>
      <c r="L278" s="35" t="s">
        <v>151</v>
      </c>
      <c r="M278" s="5">
        <v>40</v>
      </c>
      <c r="N278" s="42" t="s">
        <v>49</v>
      </c>
      <c r="O278" s="5" t="s">
        <v>80</v>
      </c>
      <c r="P278" s="5" t="s">
        <v>50</v>
      </c>
      <c r="Q278" s="8">
        <v>46060</v>
      </c>
      <c r="R278" s="5"/>
      <c r="S278" s="5"/>
    </row>
    <row r="279" spans="1:19" x14ac:dyDescent="0.25">
      <c r="A279" s="4" t="s">
        <v>67</v>
      </c>
      <c r="B279" s="99"/>
      <c r="C279" s="101"/>
      <c r="D279" s="103"/>
      <c r="E279" s="5">
        <v>16.5</v>
      </c>
      <c r="F279" s="5">
        <f>G262</f>
        <v>-112.76</v>
      </c>
      <c r="G279" s="5">
        <f t="shared" ref="G279:G285" si="37">F279-E279</f>
        <v>-129.26</v>
      </c>
      <c r="H279" s="139"/>
      <c r="I279" s="69">
        <v>46087</v>
      </c>
      <c r="J279" s="7" t="s">
        <v>56</v>
      </c>
      <c r="K279" s="67">
        <v>46091</v>
      </c>
      <c r="L279" s="35" t="s">
        <v>151</v>
      </c>
      <c r="M279" s="5">
        <v>281</v>
      </c>
      <c r="N279" s="5"/>
      <c r="O279" s="5"/>
      <c r="P279" s="5"/>
      <c r="Q279" s="5"/>
      <c r="R279" s="5"/>
      <c r="S279" s="5"/>
    </row>
    <row r="280" spans="1:19" x14ac:dyDescent="0.25">
      <c r="A280" s="4" t="s">
        <v>100</v>
      </c>
      <c r="B280" s="35" t="s">
        <v>45</v>
      </c>
      <c r="C280" s="5"/>
      <c r="D280" s="15"/>
      <c r="E280" s="5">
        <v>1500</v>
      </c>
      <c r="F280" s="5">
        <v>1550</v>
      </c>
      <c r="G280" s="5">
        <f t="shared" si="37"/>
        <v>50</v>
      </c>
      <c r="H280" s="139"/>
      <c r="I280" s="127" t="s">
        <v>60</v>
      </c>
      <c r="J280" s="128"/>
      <c r="K280" s="128"/>
      <c r="L280" s="128"/>
      <c r="M280" s="128"/>
      <c r="N280" s="128"/>
      <c r="O280" s="128"/>
      <c r="P280" s="128"/>
      <c r="Q280" s="129"/>
      <c r="R280" s="5"/>
      <c r="S280" s="5"/>
    </row>
    <row r="281" spans="1:19" x14ac:dyDescent="0.25">
      <c r="A281" s="4" t="s">
        <v>30</v>
      </c>
      <c r="B281" s="35" t="s">
        <v>75</v>
      </c>
      <c r="C281" s="5"/>
      <c r="D281" s="14"/>
      <c r="E281" s="5">
        <v>21</v>
      </c>
      <c r="F281" s="5">
        <f>G264</f>
        <v>-127.5</v>
      </c>
      <c r="G281" s="5">
        <f t="shared" si="37"/>
        <v>-148.5</v>
      </c>
      <c r="H281" s="139"/>
      <c r="I281" s="48" t="s">
        <v>146</v>
      </c>
      <c r="J281" s="5"/>
      <c r="K281" s="48" t="s">
        <v>146</v>
      </c>
      <c r="L281" s="26" t="s">
        <v>120</v>
      </c>
      <c r="M281" s="5"/>
      <c r="N281" s="5"/>
      <c r="O281" s="5"/>
      <c r="P281" s="5"/>
      <c r="Q281" s="5"/>
      <c r="R281" s="5"/>
      <c r="S281" s="5"/>
    </row>
    <row r="282" spans="1:19" x14ac:dyDescent="0.25">
      <c r="A282" s="4" t="s">
        <v>127</v>
      </c>
      <c r="B282" s="35" t="s">
        <v>62</v>
      </c>
      <c r="C282" s="14"/>
      <c r="D282" s="14"/>
      <c r="E282" s="5">
        <v>1500</v>
      </c>
      <c r="F282" s="5">
        <v>0</v>
      </c>
      <c r="G282" s="5">
        <f t="shared" si="37"/>
        <v>-1500</v>
      </c>
      <c r="H282" s="139"/>
      <c r="I282" s="48" t="s">
        <v>146</v>
      </c>
      <c r="J282" s="5"/>
      <c r="K282" s="28"/>
      <c r="L282" s="26" t="s">
        <v>120</v>
      </c>
      <c r="M282" s="5"/>
      <c r="N282" s="5"/>
      <c r="O282" s="5"/>
      <c r="P282" s="5"/>
      <c r="Q282" s="5"/>
      <c r="R282" s="5"/>
      <c r="S282" s="5"/>
    </row>
    <row r="283" spans="1:19" x14ac:dyDescent="0.25">
      <c r="A283" s="4" t="s">
        <v>101</v>
      </c>
      <c r="B283" s="37" t="s">
        <v>102</v>
      </c>
      <c r="C283" s="6"/>
      <c r="D283" s="14"/>
      <c r="E283" s="5">
        <v>1500</v>
      </c>
      <c r="F283" s="5">
        <v>0</v>
      </c>
      <c r="G283" s="5">
        <f t="shared" si="37"/>
        <v>-1500</v>
      </c>
      <c r="H283" s="139"/>
      <c r="I283" s="127" t="s">
        <v>60</v>
      </c>
      <c r="J283" s="128"/>
      <c r="K283" s="128"/>
      <c r="L283" s="128"/>
      <c r="M283" s="128"/>
      <c r="N283" s="128"/>
      <c r="O283" s="128"/>
      <c r="P283" s="128"/>
      <c r="Q283" s="129"/>
      <c r="R283" s="5"/>
      <c r="S283" s="5"/>
    </row>
    <row r="284" spans="1:19" x14ac:dyDescent="0.25">
      <c r="A284" s="4" t="s">
        <v>65</v>
      </c>
      <c r="B284" s="35" t="s">
        <v>66</v>
      </c>
      <c r="C284" s="5"/>
      <c r="D284" s="14"/>
      <c r="E284" s="5">
        <v>202.5</v>
      </c>
      <c r="F284" s="5">
        <v>0</v>
      </c>
      <c r="G284" s="5">
        <f t="shared" si="37"/>
        <v>-202.5</v>
      </c>
      <c r="H284" s="139"/>
      <c r="I284" s="48" t="s">
        <v>146</v>
      </c>
      <c r="J284" s="5"/>
      <c r="K284" s="28"/>
      <c r="L284" s="26" t="s">
        <v>120</v>
      </c>
      <c r="M284" s="5"/>
      <c r="N284" s="5"/>
      <c r="O284" s="5"/>
      <c r="P284" s="5"/>
      <c r="Q284" s="5"/>
      <c r="R284" s="5"/>
      <c r="S284" s="5"/>
    </row>
    <row r="285" spans="1:19" x14ac:dyDescent="0.25">
      <c r="A285" s="4" t="s">
        <v>72</v>
      </c>
      <c r="B285" s="35" t="s">
        <v>43</v>
      </c>
      <c r="C285" s="5"/>
      <c r="D285" s="14"/>
      <c r="E285" s="5">
        <v>150</v>
      </c>
      <c r="F285" s="17">
        <v>0</v>
      </c>
      <c r="G285" s="5">
        <f t="shared" si="37"/>
        <v>-150</v>
      </c>
      <c r="H285" s="140"/>
      <c r="I285" s="48" t="s">
        <v>146</v>
      </c>
      <c r="J285" s="5"/>
      <c r="K285" s="48" t="s">
        <v>146</v>
      </c>
      <c r="L285" s="26" t="s">
        <v>120</v>
      </c>
      <c r="M285" s="5"/>
      <c r="N285" s="5"/>
      <c r="O285" s="5"/>
      <c r="P285" s="5"/>
      <c r="Q285" s="5"/>
      <c r="R285" s="5"/>
      <c r="S285" s="5"/>
    </row>
    <row r="287" spans="1:19" x14ac:dyDescent="0.25">
      <c r="F287" s="2" t="s">
        <v>196</v>
      </c>
      <c r="G287" s="2" t="s">
        <v>195</v>
      </c>
      <c r="I287" s="70">
        <v>0.98</v>
      </c>
      <c r="J287" s="71">
        <f>((0.57*1.12)*1500)</f>
        <v>957.59999999999991</v>
      </c>
      <c r="K287" s="70">
        <f>I287*J287</f>
        <v>938.44799999999987</v>
      </c>
      <c r="L287" s="71">
        <f>(1.12*700)*4</f>
        <v>3136.0000000000005</v>
      </c>
      <c r="M287" s="70">
        <f>I287*L287</f>
        <v>3073.28</v>
      </c>
    </row>
    <row r="288" spans="1:19" x14ac:dyDescent="0.25">
      <c r="F288" s="2" t="s">
        <v>1</v>
      </c>
      <c r="I288" s="70">
        <v>1.41</v>
      </c>
      <c r="J288" s="72">
        <v>1500</v>
      </c>
      <c r="K288" s="70">
        <f>I288*J288</f>
        <v>2115</v>
      </c>
    </row>
    <row r="290" spans="1:20" s="78" customFormat="1" ht="51" customHeight="1" x14ac:dyDescent="0.25">
      <c r="A290" s="83" t="s">
        <v>207</v>
      </c>
      <c r="B290" s="84" t="s">
        <v>209</v>
      </c>
      <c r="C290" s="85"/>
      <c r="D290" s="86"/>
      <c r="E290" s="87" t="s">
        <v>223</v>
      </c>
      <c r="F290" s="87" t="s">
        <v>219</v>
      </c>
      <c r="G290" s="88" t="s">
        <v>218</v>
      </c>
      <c r="H290" s="88" t="s">
        <v>217</v>
      </c>
      <c r="I290" s="88" t="s">
        <v>220</v>
      </c>
      <c r="J290" s="88" t="s">
        <v>221</v>
      </c>
      <c r="K290" s="88" t="s">
        <v>225</v>
      </c>
      <c r="L290" s="88" t="s">
        <v>222</v>
      </c>
      <c r="M290" s="88" t="s">
        <v>224</v>
      </c>
      <c r="N290" s="79"/>
      <c r="O290" s="79"/>
      <c r="P290" s="79"/>
      <c r="Q290" s="79"/>
      <c r="R290" s="79"/>
      <c r="S290" s="79"/>
      <c r="T290" s="79"/>
    </row>
    <row r="291" spans="1:20" s="78" customFormat="1" ht="15.75" customHeight="1" x14ac:dyDescent="0.25">
      <c r="A291" s="75" t="s">
        <v>0</v>
      </c>
      <c r="B291" s="80" t="s">
        <v>208</v>
      </c>
      <c r="C291" s="74"/>
      <c r="D291" s="81"/>
      <c r="E291" s="89">
        <v>47530</v>
      </c>
      <c r="F291" s="93">
        <v>120293</v>
      </c>
      <c r="G291" s="93">
        <v>120743</v>
      </c>
      <c r="H291" s="94">
        <v>0</v>
      </c>
      <c r="I291" s="95">
        <f t="shared" ref="I291:I297" si="38">G291+H291</f>
        <v>120743</v>
      </c>
      <c r="J291" s="91">
        <f>SUM(E5,E26,E46,E68,E90)</f>
        <v>56240</v>
      </c>
      <c r="K291" s="168">
        <f>I291-J291</f>
        <v>64503</v>
      </c>
      <c r="L291" s="90">
        <f>E291</f>
        <v>47530</v>
      </c>
      <c r="M291" s="168">
        <f t="shared" ref="M291:M297" si="39">K291-L291</f>
        <v>16973</v>
      </c>
      <c r="N291" s="79"/>
      <c r="O291" s="79"/>
      <c r="P291" s="79"/>
      <c r="Q291" s="79"/>
      <c r="R291" s="79"/>
      <c r="S291" s="79"/>
      <c r="T291" s="79"/>
    </row>
    <row r="292" spans="1:20" ht="15.75" customHeight="1" x14ac:dyDescent="0.25">
      <c r="A292" s="82" t="s">
        <v>131</v>
      </c>
      <c r="B292" s="35" t="s">
        <v>213</v>
      </c>
      <c r="C292" s="5"/>
      <c r="D292" s="14"/>
      <c r="E292" s="89">
        <v>10160</v>
      </c>
      <c r="F292" s="93">
        <v>15000</v>
      </c>
      <c r="G292" s="95">
        <v>6809</v>
      </c>
      <c r="H292" s="96">
        <v>15000</v>
      </c>
      <c r="I292" s="95">
        <f t="shared" si="38"/>
        <v>21809</v>
      </c>
      <c r="J292" s="91">
        <f>SUM(E6,E27,E47,E69,E91)</f>
        <v>9143</v>
      </c>
      <c r="K292" s="168">
        <f>I292-J292</f>
        <v>12666</v>
      </c>
      <c r="L292" s="90">
        <f t="shared" ref="L292:L297" si="40">E292</f>
        <v>10160</v>
      </c>
      <c r="M292" s="168">
        <f t="shared" si="39"/>
        <v>2506</v>
      </c>
      <c r="T292" s="2"/>
    </row>
    <row r="293" spans="1:20" ht="15.75" customHeight="1" x14ac:dyDescent="0.25">
      <c r="A293" s="82" t="s">
        <v>129</v>
      </c>
      <c r="B293" s="35" t="s">
        <v>213</v>
      </c>
      <c r="C293" s="5"/>
      <c r="D293" s="14"/>
      <c r="E293" s="89">
        <v>4826</v>
      </c>
      <c r="F293" s="93">
        <v>11000</v>
      </c>
      <c r="G293" s="95">
        <v>6829</v>
      </c>
      <c r="H293" s="96">
        <v>11000</v>
      </c>
      <c r="I293" s="95">
        <f t="shared" si="38"/>
        <v>17829</v>
      </c>
      <c r="J293" s="91">
        <f>SUM(E7,E28,E48,E70,E92)</f>
        <v>9143</v>
      </c>
      <c r="K293" s="168">
        <f>I293-J293</f>
        <v>8686</v>
      </c>
      <c r="L293" s="90">
        <f t="shared" si="40"/>
        <v>4826</v>
      </c>
      <c r="M293" s="168">
        <f t="shared" si="39"/>
        <v>3860</v>
      </c>
      <c r="T293" s="2"/>
    </row>
    <row r="294" spans="1:20" ht="15.75" customHeight="1" x14ac:dyDescent="0.25">
      <c r="A294" s="82" t="s">
        <v>130</v>
      </c>
      <c r="B294" s="35" t="s">
        <v>213</v>
      </c>
      <c r="C294" s="5"/>
      <c r="D294" s="14"/>
      <c r="E294" s="89">
        <v>6600</v>
      </c>
      <c r="F294" s="93">
        <v>6600</v>
      </c>
      <c r="G294" s="95">
        <v>3748</v>
      </c>
      <c r="H294" s="96">
        <v>6600</v>
      </c>
      <c r="I294" s="95">
        <f t="shared" si="38"/>
        <v>10348</v>
      </c>
      <c r="J294" s="91">
        <f t="shared" ref="J294" si="41">SUM(E8,E29,E49,E71,E93)</f>
        <v>4460</v>
      </c>
      <c r="K294" s="168">
        <f>I294-J294</f>
        <v>5888</v>
      </c>
      <c r="L294" s="90">
        <f t="shared" si="40"/>
        <v>6600</v>
      </c>
      <c r="M294" s="168">
        <f>K294-L294</f>
        <v>-712</v>
      </c>
      <c r="T294" s="2"/>
    </row>
    <row r="295" spans="1:20" x14ac:dyDescent="0.25">
      <c r="A295" s="4" t="s">
        <v>210</v>
      </c>
      <c r="B295" s="35" t="s">
        <v>214</v>
      </c>
      <c r="C295" s="5"/>
      <c r="D295" s="14"/>
      <c r="E295" s="89">
        <v>1550</v>
      </c>
      <c r="F295" s="93">
        <v>1550</v>
      </c>
      <c r="G295" s="95">
        <v>1550</v>
      </c>
      <c r="H295" s="97">
        <v>0</v>
      </c>
      <c r="I295" s="95">
        <f t="shared" si="38"/>
        <v>1550</v>
      </c>
      <c r="J295" s="92">
        <v>0</v>
      </c>
      <c r="K295" s="168">
        <f t="shared" ref="K295" si="42">I295-J295</f>
        <v>1550</v>
      </c>
      <c r="L295" s="90">
        <f t="shared" si="40"/>
        <v>1550</v>
      </c>
      <c r="M295" s="169">
        <f t="shared" si="39"/>
        <v>0</v>
      </c>
      <c r="T295" s="2"/>
    </row>
    <row r="296" spans="1:20" x14ac:dyDescent="0.25">
      <c r="A296" s="4" t="s">
        <v>211</v>
      </c>
      <c r="B296" s="35" t="s">
        <v>215</v>
      </c>
      <c r="C296" s="5"/>
      <c r="D296" s="14"/>
      <c r="E296" s="89">
        <v>4200</v>
      </c>
      <c r="F296" s="93">
        <v>5259</v>
      </c>
      <c r="G296" s="95">
        <v>5259</v>
      </c>
      <c r="H296" s="97">
        <v>0</v>
      </c>
      <c r="I296" s="95">
        <f t="shared" si="38"/>
        <v>5259</v>
      </c>
      <c r="J296" s="92">
        <v>1200</v>
      </c>
      <c r="K296" s="168">
        <f>I296-J296</f>
        <v>4059</v>
      </c>
      <c r="L296" s="90">
        <f t="shared" si="40"/>
        <v>4200</v>
      </c>
      <c r="M296" s="168">
        <f>K296-L296</f>
        <v>-141</v>
      </c>
      <c r="T296" s="2"/>
    </row>
    <row r="297" spans="1:20" x14ac:dyDescent="0.25">
      <c r="A297" s="4" t="s">
        <v>212</v>
      </c>
      <c r="B297" s="35" t="s">
        <v>216</v>
      </c>
      <c r="C297" s="5"/>
      <c r="D297" s="14"/>
      <c r="E297" s="89">
        <v>6660</v>
      </c>
      <c r="F297" s="93">
        <v>6600</v>
      </c>
      <c r="G297" s="95">
        <v>6600</v>
      </c>
      <c r="H297" s="97">
        <v>0</v>
      </c>
      <c r="I297" s="95">
        <f t="shared" si="38"/>
        <v>6600</v>
      </c>
      <c r="J297" s="92">
        <v>0</v>
      </c>
      <c r="K297" s="168">
        <f>I297-J297</f>
        <v>6600</v>
      </c>
      <c r="L297" s="90">
        <f t="shared" si="40"/>
        <v>6660</v>
      </c>
      <c r="M297" s="168">
        <f t="shared" si="39"/>
        <v>-60</v>
      </c>
      <c r="T297" s="2"/>
    </row>
  </sheetData>
  <mergeCells count="418">
    <mergeCell ref="G103:G104"/>
    <mergeCell ref="F103:F104"/>
    <mergeCell ref="E103:E104"/>
    <mergeCell ref="B103:B104"/>
    <mergeCell ref="A103:A104"/>
    <mergeCell ref="I103:I104"/>
    <mergeCell ref="Q121:Q122"/>
    <mergeCell ref="Q143:Q144"/>
    <mergeCell ref="I275:Q275"/>
    <mergeCell ref="A121:A122"/>
    <mergeCell ref="A143:A144"/>
    <mergeCell ref="K143:K144"/>
    <mergeCell ref="L143:L144"/>
    <mergeCell ref="O143:O144"/>
    <mergeCell ref="I126:Q126"/>
    <mergeCell ref="I123:Q123"/>
    <mergeCell ref="I127:I128"/>
    <mergeCell ref="K119:K120"/>
    <mergeCell ref="H249:H268"/>
    <mergeCell ref="D253:D254"/>
    <mergeCell ref="B257:B258"/>
    <mergeCell ref="C257:C258"/>
    <mergeCell ref="D257:D258"/>
    <mergeCell ref="B259:B260"/>
    <mergeCell ref="A76:A77"/>
    <mergeCell ref="B97:B98"/>
    <mergeCell ref="C97:C98"/>
    <mergeCell ref="D97:D98"/>
    <mergeCell ref="C99:C100"/>
    <mergeCell ref="F76:F77"/>
    <mergeCell ref="G76:G77"/>
    <mergeCell ref="G99:G100"/>
    <mergeCell ref="F99:F100"/>
    <mergeCell ref="I69:Q69"/>
    <mergeCell ref="I71:Q71"/>
    <mergeCell ref="I82:Q82"/>
    <mergeCell ref="I74:I75"/>
    <mergeCell ref="K74:K75"/>
    <mergeCell ref="I78:Q78"/>
    <mergeCell ref="I81:Q81"/>
    <mergeCell ref="O72:O73"/>
    <mergeCell ref="B76:B77"/>
    <mergeCell ref="C76:C77"/>
    <mergeCell ref="I70:Q70"/>
    <mergeCell ref="B72:B73"/>
    <mergeCell ref="I76:I77"/>
    <mergeCell ref="L76:L77"/>
    <mergeCell ref="O76:O77"/>
    <mergeCell ref="K72:K73"/>
    <mergeCell ref="K76:K77"/>
    <mergeCell ref="J76:J77"/>
    <mergeCell ref="A55:A56"/>
    <mergeCell ref="B55:B56"/>
    <mergeCell ref="C55:C56"/>
    <mergeCell ref="D55:D56"/>
    <mergeCell ref="E55:E56"/>
    <mergeCell ref="I55:I56"/>
    <mergeCell ref="J55:J56"/>
    <mergeCell ref="K55:K56"/>
    <mergeCell ref="L55:L56"/>
    <mergeCell ref="H46:H64"/>
    <mergeCell ref="E259:E260"/>
    <mergeCell ref="B265:B266"/>
    <mergeCell ref="C265:C266"/>
    <mergeCell ref="B261:B262"/>
    <mergeCell ref="C261:C262"/>
    <mergeCell ref="A189:A190"/>
    <mergeCell ref="D76:D77"/>
    <mergeCell ref="E76:E77"/>
    <mergeCell ref="D99:D100"/>
    <mergeCell ref="E99:E100"/>
    <mergeCell ref="B94:B96"/>
    <mergeCell ref="C94:C96"/>
    <mergeCell ref="D94:D96"/>
    <mergeCell ref="B138:B140"/>
    <mergeCell ref="C138:C140"/>
    <mergeCell ref="D138:D140"/>
    <mergeCell ref="B99:B100"/>
    <mergeCell ref="B83:B84"/>
    <mergeCell ref="C83:C84"/>
    <mergeCell ref="B117:B118"/>
    <mergeCell ref="C117:C118"/>
    <mergeCell ref="D117:D118"/>
    <mergeCell ref="C106:C107"/>
    <mergeCell ref="A99:A100"/>
    <mergeCell ref="A212:A213"/>
    <mergeCell ref="B212:B213"/>
    <mergeCell ref="C212:C213"/>
    <mergeCell ref="E212:E213"/>
    <mergeCell ref="H226:H245"/>
    <mergeCell ref="D230:D231"/>
    <mergeCell ref="B234:B235"/>
    <mergeCell ref="C234:C235"/>
    <mergeCell ref="D234:D235"/>
    <mergeCell ref="B236:B237"/>
    <mergeCell ref="C236:C237"/>
    <mergeCell ref="E236:E237"/>
    <mergeCell ref="B242:B243"/>
    <mergeCell ref="C242:C243"/>
    <mergeCell ref="H202:H222"/>
    <mergeCell ref="B206:B208"/>
    <mergeCell ref="C206:C208"/>
    <mergeCell ref="D206:D208"/>
    <mergeCell ref="B210:B211"/>
    <mergeCell ref="C210:C211"/>
    <mergeCell ref="D210:D211"/>
    <mergeCell ref="E189:E190"/>
    <mergeCell ref="H178:H198"/>
    <mergeCell ref="B182:B185"/>
    <mergeCell ref="C182:C185"/>
    <mergeCell ref="D182:D185"/>
    <mergeCell ref="B187:B188"/>
    <mergeCell ref="C187:C188"/>
    <mergeCell ref="D187:D188"/>
    <mergeCell ref="C195:C196"/>
    <mergeCell ref="A182:A183"/>
    <mergeCell ref="E182:E183"/>
    <mergeCell ref="F182:F183"/>
    <mergeCell ref="G182:G183"/>
    <mergeCell ref="K121:K122"/>
    <mergeCell ref="J121:J122"/>
    <mergeCell ref="B121:B122"/>
    <mergeCell ref="C121:C122"/>
    <mergeCell ref="I121:I122"/>
    <mergeCell ref="I165:I166"/>
    <mergeCell ref="J165:J166"/>
    <mergeCell ref="K165:K166"/>
    <mergeCell ref="B160:B162"/>
    <mergeCell ref="H156:H174"/>
    <mergeCell ref="D160:D161"/>
    <mergeCell ref="B163:B164"/>
    <mergeCell ref="C163:C164"/>
    <mergeCell ref="D163:D164"/>
    <mergeCell ref="B165:B166"/>
    <mergeCell ref="C165:C166"/>
    <mergeCell ref="C160:C162"/>
    <mergeCell ref="E165:E166"/>
    <mergeCell ref="B171:B172"/>
    <mergeCell ref="C171:C172"/>
    <mergeCell ref="L121:L122"/>
    <mergeCell ref="H113:H130"/>
    <mergeCell ref="B127:B128"/>
    <mergeCell ref="C127:C128"/>
    <mergeCell ref="B119:B120"/>
    <mergeCell ref="C119:C120"/>
    <mergeCell ref="E121:E122"/>
    <mergeCell ref="D119:D120"/>
    <mergeCell ref="I116:Q116"/>
    <mergeCell ref="Q119:Q120"/>
    <mergeCell ref="L119:L120"/>
    <mergeCell ref="I113:Q113"/>
    <mergeCell ref="K127:K128"/>
    <mergeCell ref="I114:Q114"/>
    <mergeCell ref="I115:Q115"/>
    <mergeCell ref="O121:O122"/>
    <mergeCell ref="O119:O120"/>
    <mergeCell ref="I119:I120"/>
    <mergeCell ref="J119:J120"/>
    <mergeCell ref="I118:Q118"/>
    <mergeCell ref="N119:N120"/>
    <mergeCell ref="H272:H285"/>
    <mergeCell ref="B273:B275"/>
    <mergeCell ref="C273:C275"/>
    <mergeCell ref="D273:D275"/>
    <mergeCell ref="C143:C144"/>
    <mergeCell ref="I143:I144"/>
    <mergeCell ref="J143:J144"/>
    <mergeCell ref="I145:Q145"/>
    <mergeCell ref="H134:H152"/>
    <mergeCell ref="I134:Q134"/>
    <mergeCell ref="B141:B142"/>
    <mergeCell ref="C141:C142"/>
    <mergeCell ref="Q141:Q142"/>
    <mergeCell ref="I135:Q135"/>
    <mergeCell ref="I137:Q137"/>
    <mergeCell ref="I141:I142"/>
    <mergeCell ref="J141:J142"/>
    <mergeCell ref="K141:K142"/>
    <mergeCell ref="L141:L142"/>
    <mergeCell ref="N141:N142"/>
    <mergeCell ref="O141:O142"/>
    <mergeCell ref="E143:E144"/>
    <mergeCell ref="D141:D142"/>
    <mergeCell ref="B143:B144"/>
    <mergeCell ref="B9:B11"/>
    <mergeCell ref="C9:C11"/>
    <mergeCell ref="D9:D11"/>
    <mergeCell ref="H26:H42"/>
    <mergeCell ref="N74:N75"/>
    <mergeCell ref="N72:N73"/>
    <mergeCell ref="J74:J75"/>
    <mergeCell ref="Q72:Q73"/>
    <mergeCell ref="Q74:Q75"/>
    <mergeCell ref="H5:H22"/>
    <mergeCell ref="I9:Q9"/>
    <mergeCell ref="I6:Q6"/>
    <mergeCell ref="I7:Q7"/>
    <mergeCell ref="I8:Q8"/>
    <mergeCell ref="I27:Q27"/>
    <mergeCell ref="I28:Q28"/>
    <mergeCell ref="I29:Q29"/>
    <mergeCell ref="I47:Q47"/>
    <mergeCell ref="B53:B54"/>
    <mergeCell ref="C53:C54"/>
    <mergeCell ref="B39:B40"/>
    <mergeCell ref="B13:B14"/>
    <mergeCell ref="B50:B52"/>
    <mergeCell ref="C50:C52"/>
    <mergeCell ref="I13:I14"/>
    <mergeCell ref="J13:J14"/>
    <mergeCell ref="L13:L14"/>
    <mergeCell ref="I32:I33"/>
    <mergeCell ref="I60:Q60"/>
    <mergeCell ref="I61:Q61"/>
    <mergeCell ref="C61:C62"/>
    <mergeCell ref="B74:B75"/>
    <mergeCell ref="C74:C75"/>
    <mergeCell ref="D74:D75"/>
    <mergeCell ref="D50:D52"/>
    <mergeCell ref="C72:C73"/>
    <mergeCell ref="D72:D73"/>
    <mergeCell ref="C13:C14"/>
    <mergeCell ref="D13:D14"/>
    <mergeCell ref="D53:D54"/>
    <mergeCell ref="B32:B33"/>
    <mergeCell ref="C32:C33"/>
    <mergeCell ref="D32:D33"/>
    <mergeCell ref="C39:C40"/>
    <mergeCell ref="D39:D40"/>
    <mergeCell ref="B30:B31"/>
    <mergeCell ref="C30:C31"/>
    <mergeCell ref="D30:D31"/>
    <mergeCell ref="O97:O98"/>
    <mergeCell ref="K97:K98"/>
    <mergeCell ref="L99:L100"/>
    <mergeCell ref="O99:O100"/>
    <mergeCell ref="I5:Q5"/>
    <mergeCell ref="I15:Q15"/>
    <mergeCell ref="I16:Q16"/>
    <mergeCell ref="I19:Q19"/>
    <mergeCell ref="P72:P73"/>
    <mergeCell ref="J72:J73"/>
    <mergeCell ref="I72:I73"/>
    <mergeCell ref="L72:L73"/>
    <mergeCell ref="L74:L75"/>
    <mergeCell ref="I68:Q68"/>
    <mergeCell ref="O74:O75"/>
    <mergeCell ref="I12:Q12"/>
    <mergeCell ref="I46:Q46"/>
    <mergeCell ref="I50:I52"/>
    <mergeCell ref="J50:J52"/>
    <mergeCell ref="K50:K52"/>
    <mergeCell ref="L50:L52"/>
    <mergeCell ref="N50:N52"/>
    <mergeCell ref="O55:O56"/>
    <mergeCell ref="I49:Q49"/>
    <mergeCell ref="H90:H109"/>
    <mergeCell ref="H68:H86"/>
    <mergeCell ref="K13:K14"/>
    <mergeCell ref="K32:K33"/>
    <mergeCell ref="I10:Q10"/>
    <mergeCell ref="I11:Q11"/>
    <mergeCell ref="I39:Q39"/>
    <mergeCell ref="I40:Q40"/>
    <mergeCell ref="O50:O52"/>
    <mergeCell ref="P50:P52"/>
    <mergeCell ref="Q50:Q52"/>
    <mergeCell ref="I53:I54"/>
    <mergeCell ref="J53:J54"/>
    <mergeCell ref="K53:K54"/>
    <mergeCell ref="L53:L54"/>
    <mergeCell ref="N53:N54"/>
    <mergeCell ref="O53:O54"/>
    <mergeCell ref="I57:Q57"/>
    <mergeCell ref="I105:Q105"/>
    <mergeCell ref="Q53:Q54"/>
    <mergeCell ref="L94:L96"/>
    <mergeCell ref="N94:N96"/>
    <mergeCell ref="K99:K100"/>
    <mergeCell ref="K94:K96"/>
    <mergeCell ref="K83:K84"/>
    <mergeCell ref="I106:Q106"/>
    <mergeCell ref="I99:I100"/>
    <mergeCell ref="I83:I84"/>
    <mergeCell ref="I97:I98"/>
    <mergeCell ref="N97:N98"/>
    <mergeCell ref="I92:Q92"/>
    <mergeCell ref="J99:J100"/>
    <mergeCell ref="O94:O96"/>
    <mergeCell ref="P94:P96"/>
    <mergeCell ref="Q94:Q96"/>
    <mergeCell ref="I101:Q101"/>
    <mergeCell ref="L103:L104"/>
    <mergeCell ref="K103:K104"/>
    <mergeCell ref="J103:J104"/>
    <mergeCell ref="J83:J84"/>
    <mergeCell ref="J97:J98"/>
    <mergeCell ref="L97:L98"/>
    <mergeCell ref="I90:Q90"/>
    <mergeCell ref="Q97:Q98"/>
    <mergeCell ref="I91:Q91"/>
    <mergeCell ref="I93:Q93"/>
    <mergeCell ref="I94:I96"/>
    <mergeCell ref="J94:J96"/>
    <mergeCell ref="I259:I260"/>
    <mergeCell ref="J259:J260"/>
    <mergeCell ref="K259:K260"/>
    <mergeCell ref="L259:L260"/>
    <mergeCell ref="I210:I211"/>
    <mergeCell ref="J210:J211"/>
    <mergeCell ref="K210:K211"/>
    <mergeCell ref="L210:L211"/>
    <mergeCell ref="I212:I213"/>
    <mergeCell ref="J212:J213"/>
    <mergeCell ref="K212:K213"/>
    <mergeCell ref="L212:L213"/>
    <mergeCell ref="I217:Q217"/>
    <mergeCell ref="I218:Q218"/>
    <mergeCell ref="Q257:Q258"/>
    <mergeCell ref="I257:I258"/>
    <mergeCell ref="J257:J258"/>
    <mergeCell ref="K257:K258"/>
    <mergeCell ref="L257:L258"/>
    <mergeCell ref="N257:N258"/>
    <mergeCell ref="O257:O258"/>
    <mergeCell ref="I220:Q220"/>
    <mergeCell ref="I221:Q221"/>
    <mergeCell ref="I222:S222"/>
    <mergeCell ref="L234:L235"/>
    <mergeCell ref="N234:N235"/>
    <mergeCell ref="O234:O235"/>
    <mergeCell ref="Q234:Q235"/>
    <mergeCell ref="I236:I237"/>
    <mergeCell ref="J236:J237"/>
    <mergeCell ref="K236:K237"/>
    <mergeCell ref="L236:L237"/>
    <mergeCell ref="O236:O237"/>
    <mergeCell ref="I31:Q31"/>
    <mergeCell ref="I26:Q26"/>
    <mergeCell ref="I20:Q20"/>
    <mergeCell ref="I18:Q18"/>
    <mergeCell ref="I35:Q35"/>
    <mergeCell ref="I48:Q48"/>
    <mergeCell ref="I34:Q34"/>
    <mergeCell ref="I38:Q38"/>
    <mergeCell ref="I37:Q37"/>
    <mergeCell ref="I283:Q283"/>
    <mergeCell ref="I163:I164"/>
    <mergeCell ref="J163:J164"/>
    <mergeCell ref="K163:K164"/>
    <mergeCell ref="L163:L164"/>
    <mergeCell ref="N163:N164"/>
    <mergeCell ref="O163:O164"/>
    <mergeCell ref="Q163:Q164"/>
    <mergeCell ref="L138:L139"/>
    <mergeCell ref="I280:Q280"/>
    <mergeCell ref="L160:L161"/>
    <mergeCell ref="I216:S216"/>
    <mergeCell ref="N210:N211"/>
    <mergeCell ref="O210:O211"/>
    <mergeCell ref="Q210:Q211"/>
    <mergeCell ref="I148:Q148"/>
    <mergeCell ref="I149:Q149"/>
    <mergeCell ref="I156:Q156"/>
    <mergeCell ref="I140:Q140"/>
    <mergeCell ref="O259:O260"/>
    <mergeCell ref="I219:Q219"/>
    <mergeCell ref="I234:I235"/>
    <mergeCell ref="J234:J235"/>
    <mergeCell ref="K234:K235"/>
    <mergeCell ref="O212:O213"/>
    <mergeCell ref="I136:Q136"/>
    <mergeCell ref="L187:L188"/>
    <mergeCell ref="N187:N188"/>
    <mergeCell ref="O187:O188"/>
    <mergeCell ref="Q187:Q188"/>
    <mergeCell ref="I189:I190"/>
    <mergeCell ref="J189:J190"/>
    <mergeCell ref="K189:K190"/>
    <mergeCell ref="L189:L190"/>
    <mergeCell ref="O189:O190"/>
    <mergeCell ref="I187:I188"/>
    <mergeCell ref="J187:J188"/>
    <mergeCell ref="K187:K188"/>
    <mergeCell ref="I182:I185"/>
    <mergeCell ref="J182:J185"/>
    <mergeCell ref="K182:K185"/>
    <mergeCell ref="L182:L185"/>
    <mergeCell ref="I207:Q207"/>
    <mergeCell ref="I208:Q208"/>
    <mergeCell ref="L165:L166"/>
    <mergeCell ref="O165:O166"/>
    <mergeCell ref="I157:Q157"/>
    <mergeCell ref="I159:Q159"/>
    <mergeCell ref="B278:B279"/>
    <mergeCell ref="C278:C279"/>
    <mergeCell ref="D191:D192"/>
    <mergeCell ref="D238:D239"/>
    <mergeCell ref="D261:D262"/>
    <mergeCell ref="D278:D279"/>
    <mergeCell ref="D167:D168"/>
    <mergeCell ref="D214:D215"/>
    <mergeCell ref="C230:C232"/>
    <mergeCell ref="B230:B232"/>
    <mergeCell ref="C253:C255"/>
    <mergeCell ref="B253:B255"/>
    <mergeCell ref="B167:B168"/>
    <mergeCell ref="C167:C168"/>
    <mergeCell ref="B191:B192"/>
    <mergeCell ref="C191:C192"/>
    <mergeCell ref="B214:B215"/>
    <mergeCell ref="C214:C215"/>
    <mergeCell ref="B238:B239"/>
    <mergeCell ref="C238:C239"/>
    <mergeCell ref="B189:B190"/>
    <mergeCell ref="C189:C190"/>
    <mergeCell ref="B219:B220"/>
    <mergeCell ref="C259:C260"/>
  </mergeCells>
  <conditionalFormatting sqref="F1:G5 G6:G8 F9:G26 F30:G46 F50:G68 F72:G76 F78:G99 F101:G103 F105:G182 F184:G289 H290:I297 F298:G1048576">
    <cfRule type="cellIs" dxfId="4" priority="36" operator="lessThan">
      <formula>0</formula>
    </cfRule>
  </conditionalFormatting>
  <conditionalFormatting sqref="G27:G29">
    <cfRule type="cellIs" dxfId="3" priority="35" operator="lessThan">
      <formula>0</formula>
    </cfRule>
  </conditionalFormatting>
  <conditionalFormatting sqref="G47:G49">
    <cfRule type="cellIs" dxfId="2" priority="34" operator="lessThan">
      <formula>0</formula>
    </cfRule>
  </conditionalFormatting>
  <conditionalFormatting sqref="G69:G71">
    <cfRule type="cellIs" dxfId="1" priority="33" operator="lessThan">
      <formula>0</formula>
    </cfRule>
  </conditionalFormatting>
  <hyperlinks>
    <hyperlink ref="D15" r:id="rId1" xr:uid="{00000000-0004-0000-0000-000000000000}"/>
    <hyperlink ref="D17" r:id="rId2" xr:uid="{00000000-0004-0000-0000-000001000000}"/>
    <hyperlink ref="D13" r:id="rId3" xr:uid="{00000000-0004-0000-0000-000002000000}"/>
    <hyperlink ref="D94" r:id="rId4" xr:uid="{00000000-0004-0000-0000-000003000000}"/>
    <hyperlink ref="D103" r:id="rId5" xr:uid="{00000000-0004-0000-0000-000004000000}"/>
    <hyperlink ref="D30" r:id="rId6" xr:uid="{00000000-0004-0000-0000-000005000000}"/>
    <hyperlink ref="D36" r:id="rId7" xr:uid="{00000000-0004-0000-0000-000006000000}"/>
    <hyperlink ref="D72" r:id="rId8" xr:uid="{00000000-0004-0000-0000-000007000000}"/>
    <hyperlink ref="D80" r:id="rId9" xr:uid="{00000000-0004-0000-0000-000008000000}"/>
    <hyperlink ref="D74" r:id="rId10" xr:uid="{00000000-0004-0000-0000-000009000000}"/>
    <hyperlink ref="D9" r:id="rId11" xr:uid="{00000000-0004-0000-0000-00000A000000}"/>
    <hyperlink ref="D32" r:id="rId12" xr:uid="{00000000-0004-0000-0000-00000B000000}"/>
    <hyperlink ref="D35" r:id="rId13" xr:uid="{00000000-0004-0000-0000-00000C000000}"/>
    <hyperlink ref="D79" r:id="rId14" xr:uid="{00000000-0004-0000-0000-00000D000000}"/>
    <hyperlink ref="D102" r:id="rId15" xr:uid="{00000000-0004-0000-0000-00000E000000}"/>
    <hyperlink ref="D124" r:id="rId16" xr:uid="{00000000-0004-0000-0000-00000F000000}"/>
    <hyperlink ref="D125" r:id="rId17" xr:uid="{00000000-0004-0000-0000-000010000000}"/>
    <hyperlink ref="D117" r:id="rId18" xr:uid="{00000000-0004-0000-0000-000011000000}"/>
    <hyperlink ref="D20" r:id="rId19" xr:uid="{00000000-0004-0000-0000-000012000000}"/>
    <hyperlink ref="D97" r:id="rId20" xr:uid="{00000000-0004-0000-0000-000013000000}"/>
    <hyperlink ref="D119" r:id="rId21" xr:uid="{00000000-0004-0000-0000-000014000000}"/>
    <hyperlink ref="D147" r:id="rId22" xr:uid="{00000000-0004-0000-0000-000015000000}"/>
    <hyperlink ref="D146" r:id="rId23" xr:uid="{00000000-0004-0000-0000-000016000000}"/>
    <hyperlink ref="D141" r:id="rId24" xr:uid="{00000000-0004-0000-0000-000017000000}"/>
    <hyperlink ref="D273" r:id="rId25" xr:uid="{00000000-0004-0000-0000-000018000000}"/>
    <hyperlink ref="D169" r:id="rId26" xr:uid="{00000000-0004-0000-0000-000019000000}"/>
    <hyperlink ref="D160" r:id="rId27" xr:uid="{00000000-0004-0000-0000-00001A000000}"/>
    <hyperlink ref="D163" r:id="rId28" xr:uid="{00000000-0004-0000-0000-00001B000000}"/>
    <hyperlink ref="D182" r:id="rId29" xr:uid="{00000000-0004-0000-0000-00001C000000}"/>
    <hyperlink ref="D193" r:id="rId30" xr:uid="{00000000-0004-0000-0000-00001D000000}"/>
    <hyperlink ref="D187" r:id="rId31" xr:uid="{00000000-0004-0000-0000-00001E000000}"/>
    <hyperlink ref="D206" r:id="rId32" xr:uid="{00000000-0004-0000-0000-00001F000000}"/>
    <hyperlink ref="D216" r:id="rId33" xr:uid="{00000000-0004-0000-0000-000020000000}"/>
    <hyperlink ref="D210" r:id="rId34" xr:uid="{00000000-0004-0000-0000-000021000000}"/>
    <hyperlink ref="D240" r:id="rId35" xr:uid="{00000000-0004-0000-0000-000022000000}"/>
    <hyperlink ref="D230" r:id="rId36" xr:uid="{00000000-0004-0000-0000-000023000000}"/>
    <hyperlink ref="D234" r:id="rId37" xr:uid="{00000000-0004-0000-0000-000024000000}"/>
    <hyperlink ref="D263" r:id="rId38" xr:uid="{00000000-0004-0000-0000-000025000000}"/>
    <hyperlink ref="D253" r:id="rId39" xr:uid="{00000000-0004-0000-0000-000026000000}"/>
    <hyperlink ref="D257" r:id="rId40" xr:uid="{00000000-0004-0000-0000-000027000000}"/>
    <hyperlink ref="D50" r:id="rId41" xr:uid="{00000000-0004-0000-0000-000028000000}"/>
    <hyperlink ref="D59" r:id="rId42" xr:uid="{00000000-0004-0000-0000-000029000000}"/>
    <hyperlink ref="D58" r:id="rId43" xr:uid="{00000000-0004-0000-0000-00002A000000}"/>
    <hyperlink ref="D53" r:id="rId44" xr:uid="{00000000-0004-0000-0000-00002B000000}"/>
    <hyperlink ref="D138" r:id="rId45" xr:uid="{00000000-0004-0000-0000-00002C000000}"/>
    <hyperlink ref="D186" r:id="rId46" display="emma@jsbaojun.cn" xr:uid="{00000000-0004-0000-0000-00002D000000}"/>
    <hyperlink ref="D209" r:id="rId47" display="emma@jsbaojun.cn" xr:uid="{00000000-0004-0000-0000-00002E000000}"/>
    <hyperlink ref="D233" r:id="rId48" display="emma@jsbaojun.cn" xr:uid="{00000000-0004-0000-0000-00002F000000}"/>
    <hyperlink ref="D256" r:id="rId49" display="emma@jsbaojun.cn" xr:uid="{00000000-0004-0000-0000-000030000000}"/>
  </hyperlinks>
  <pageMargins left="0.7" right="0.7" top="0.75" bottom="0.75" header="0.3" footer="0.3"/>
  <pageSetup orientation="portrait" horizontalDpi="360" verticalDpi="360" r:id="rId50"/>
  <drawing r:id="rId51"/>
  <legacy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0"/>
  <sheetViews>
    <sheetView topLeftCell="A44" zoomScale="85" zoomScaleNormal="85" workbookViewId="0">
      <selection activeCell="F193" sqref="F193:G194"/>
    </sheetView>
  </sheetViews>
  <sheetFormatPr defaultRowHeight="15" x14ac:dyDescent="0.25"/>
  <cols>
    <col min="1" max="1" width="25.140625" bestFit="1" customWidth="1"/>
    <col min="2" max="2" width="21.42578125" style="33" bestFit="1" customWidth="1"/>
    <col min="3" max="3" width="9.140625" style="2"/>
    <col min="4" max="4" width="22.140625" style="12" bestFit="1" customWidth="1"/>
    <col min="5" max="7" width="12.5703125" style="2" customWidth="1"/>
    <col min="8" max="8" width="15.5703125" bestFit="1" customWidth="1"/>
    <col min="9" max="9" width="17.140625" style="2" customWidth="1"/>
    <col min="10" max="10" width="20.140625" style="2" customWidth="1"/>
    <col min="11" max="11" width="18.140625" style="2" customWidth="1"/>
    <col min="12" max="12" width="11.85546875" style="2" customWidth="1"/>
    <col min="13" max="13" width="12.5703125" style="2" customWidth="1"/>
    <col min="14" max="14" width="18.5703125" style="2" customWidth="1"/>
    <col min="15" max="15" width="17.85546875" style="2" bestFit="1" customWidth="1"/>
    <col min="16" max="16" width="17.85546875" style="2" customWidth="1"/>
    <col min="17" max="17" width="14" style="2" bestFit="1" customWidth="1"/>
    <col min="18" max="18" width="13.7109375" style="2" bestFit="1" customWidth="1"/>
    <col min="19" max="19" width="12.85546875" style="2" bestFit="1" customWidth="1"/>
  </cols>
  <sheetData>
    <row r="1" spans="1:19" x14ac:dyDescent="0.25">
      <c r="A1" t="s">
        <v>18</v>
      </c>
    </row>
    <row r="3" spans="1:19" x14ac:dyDescent="0.25">
      <c r="A3" s="3" t="s">
        <v>9</v>
      </c>
    </row>
    <row r="4" spans="1:19" s="11" customFormat="1" ht="30" x14ac:dyDescent="0.25">
      <c r="A4" s="9" t="s">
        <v>42</v>
      </c>
      <c r="B4" s="34" t="s">
        <v>2</v>
      </c>
      <c r="C4" s="9" t="s">
        <v>13</v>
      </c>
      <c r="D4" s="9" t="s">
        <v>14</v>
      </c>
      <c r="E4" s="9" t="s">
        <v>4</v>
      </c>
      <c r="F4" s="10" t="s">
        <v>94</v>
      </c>
      <c r="G4" s="10" t="s">
        <v>103</v>
      </c>
      <c r="H4" s="9" t="s">
        <v>34</v>
      </c>
      <c r="I4" s="9" t="s">
        <v>11</v>
      </c>
      <c r="J4" s="10" t="s">
        <v>58</v>
      </c>
      <c r="K4" s="10" t="s">
        <v>86</v>
      </c>
      <c r="L4" s="9" t="s">
        <v>8</v>
      </c>
      <c r="M4" s="9" t="s">
        <v>7</v>
      </c>
      <c r="N4" s="9" t="s">
        <v>31</v>
      </c>
      <c r="O4" s="9" t="s">
        <v>32</v>
      </c>
      <c r="P4" s="9" t="s">
        <v>29</v>
      </c>
      <c r="Q4" s="9" t="s">
        <v>33</v>
      </c>
      <c r="R4" s="9" t="s">
        <v>26</v>
      </c>
      <c r="S4" s="9" t="s">
        <v>27</v>
      </c>
    </row>
    <row r="5" spans="1:19" x14ac:dyDescent="0.25">
      <c r="A5" s="4" t="s">
        <v>0</v>
      </c>
      <c r="B5" s="35" t="s">
        <v>45</v>
      </c>
      <c r="C5" s="5"/>
      <c r="D5" s="14"/>
      <c r="E5" s="5">
        <v>4906</v>
      </c>
      <c r="F5" s="5">
        <v>114982</v>
      </c>
      <c r="G5" s="5">
        <f>F5-E5</f>
        <v>110076</v>
      </c>
      <c r="H5" s="141">
        <v>45918</v>
      </c>
      <c r="I5" s="127" t="s">
        <v>60</v>
      </c>
      <c r="J5" s="128"/>
      <c r="K5" s="128"/>
      <c r="L5" s="128"/>
      <c r="M5" s="128"/>
      <c r="N5" s="128"/>
      <c r="O5" s="128"/>
      <c r="P5" s="128"/>
      <c r="Q5" s="129"/>
      <c r="R5" s="5"/>
      <c r="S5" s="5"/>
    </row>
    <row r="6" spans="1:19" x14ac:dyDescent="0.25">
      <c r="A6" s="4" t="s">
        <v>104</v>
      </c>
      <c r="B6" s="98" t="s">
        <v>35</v>
      </c>
      <c r="C6" s="100" t="s">
        <v>12</v>
      </c>
      <c r="D6" s="102" t="s">
        <v>15</v>
      </c>
      <c r="E6" s="5">
        <v>460</v>
      </c>
      <c r="F6" s="5">
        <v>1236</v>
      </c>
      <c r="G6" s="5">
        <f t="shared" ref="G6:G18" si="0">F6-E6</f>
        <v>776</v>
      </c>
      <c r="H6" s="141"/>
      <c r="I6" s="127" t="s">
        <v>60</v>
      </c>
      <c r="J6" s="128"/>
      <c r="K6" s="128"/>
      <c r="L6" s="128"/>
      <c r="M6" s="128"/>
      <c r="N6" s="128"/>
      <c r="O6" s="128"/>
      <c r="P6" s="128"/>
      <c r="Q6" s="129"/>
      <c r="R6" s="5"/>
      <c r="S6" s="5"/>
    </row>
    <row r="7" spans="1:19" x14ac:dyDescent="0.25">
      <c r="A7" s="4" t="s">
        <v>73</v>
      </c>
      <c r="B7" s="105"/>
      <c r="C7" s="104"/>
      <c r="D7" s="148"/>
      <c r="E7" s="5">
        <v>86.48</v>
      </c>
      <c r="F7" s="5">
        <v>311.39999999999998</v>
      </c>
      <c r="G7" s="5">
        <f t="shared" si="0"/>
        <v>224.91999999999996</v>
      </c>
      <c r="H7" s="141"/>
      <c r="I7" s="127" t="s">
        <v>60</v>
      </c>
      <c r="J7" s="128"/>
      <c r="K7" s="128"/>
      <c r="L7" s="128"/>
      <c r="M7" s="128"/>
      <c r="N7" s="128"/>
      <c r="O7" s="128"/>
      <c r="P7" s="128"/>
      <c r="Q7" s="129"/>
      <c r="R7" s="5"/>
      <c r="S7" s="5"/>
    </row>
    <row r="8" spans="1:19" x14ac:dyDescent="0.25">
      <c r="A8" s="4" t="s">
        <v>59</v>
      </c>
      <c r="B8" s="99"/>
      <c r="C8" s="101"/>
      <c r="D8" s="103"/>
      <c r="E8" s="5">
        <v>17.48</v>
      </c>
      <c r="F8" s="5">
        <v>392</v>
      </c>
      <c r="G8" s="5">
        <f t="shared" si="0"/>
        <v>374.52</v>
      </c>
      <c r="H8" s="141"/>
      <c r="I8" s="127" t="s">
        <v>60</v>
      </c>
      <c r="J8" s="128"/>
      <c r="K8" s="128"/>
      <c r="L8" s="128"/>
      <c r="M8" s="128"/>
      <c r="N8" s="128"/>
      <c r="O8" s="128"/>
      <c r="P8" s="128"/>
      <c r="Q8" s="129"/>
      <c r="R8" s="5"/>
      <c r="S8" s="5"/>
    </row>
    <row r="9" spans="1:19" x14ac:dyDescent="0.25">
      <c r="A9" s="4" t="s">
        <v>47</v>
      </c>
      <c r="B9" s="98" t="s">
        <v>36</v>
      </c>
      <c r="C9" s="100" t="s">
        <v>41</v>
      </c>
      <c r="D9" s="146" t="s">
        <v>40</v>
      </c>
      <c r="E9" s="5">
        <v>181.24</v>
      </c>
      <c r="F9" s="5">
        <v>1050</v>
      </c>
      <c r="G9" s="5">
        <f t="shared" si="0"/>
        <v>868.76</v>
      </c>
      <c r="H9" s="141"/>
      <c r="I9" s="119">
        <v>46045</v>
      </c>
      <c r="J9" s="100" t="s">
        <v>56</v>
      </c>
      <c r="K9" s="119">
        <v>46048</v>
      </c>
      <c r="L9" s="100" t="s">
        <v>64</v>
      </c>
      <c r="M9" s="5">
        <v>1050</v>
      </c>
      <c r="N9" s="5" t="s">
        <v>49</v>
      </c>
      <c r="O9" s="5" t="s">
        <v>80</v>
      </c>
      <c r="P9" s="5" t="s">
        <v>50</v>
      </c>
      <c r="Q9" s="8">
        <v>46059</v>
      </c>
      <c r="R9" s="25">
        <v>46062</v>
      </c>
      <c r="S9" s="5"/>
    </row>
    <row r="10" spans="1:19" x14ac:dyDescent="0.25">
      <c r="A10" s="4" t="s">
        <v>48</v>
      </c>
      <c r="B10" s="99"/>
      <c r="C10" s="101"/>
      <c r="D10" s="147"/>
      <c r="E10" s="5">
        <v>271.86</v>
      </c>
      <c r="F10" s="5">
        <v>1500</v>
      </c>
      <c r="G10" s="5">
        <f t="shared" si="0"/>
        <v>1228.1399999999999</v>
      </c>
      <c r="H10" s="141"/>
      <c r="I10" s="140"/>
      <c r="J10" s="101"/>
      <c r="K10" s="140"/>
      <c r="L10" s="101"/>
      <c r="M10" s="5">
        <v>1500</v>
      </c>
      <c r="N10" s="5" t="s">
        <v>49</v>
      </c>
      <c r="O10" s="5" t="s">
        <v>80</v>
      </c>
      <c r="P10" s="5" t="s">
        <v>50</v>
      </c>
      <c r="Q10" s="8">
        <v>46059</v>
      </c>
      <c r="R10" s="5"/>
      <c r="S10" s="5"/>
    </row>
    <row r="11" spans="1:19" x14ac:dyDescent="0.25">
      <c r="A11" s="4" t="s">
        <v>3</v>
      </c>
      <c r="B11" s="35" t="s">
        <v>68</v>
      </c>
      <c r="C11" s="5" t="s">
        <v>16</v>
      </c>
      <c r="D11" s="15" t="s">
        <v>6</v>
      </c>
      <c r="E11" s="5">
        <v>0.74</v>
      </c>
      <c r="F11" s="5">
        <v>29.44</v>
      </c>
      <c r="G11" s="5">
        <f t="shared" si="0"/>
        <v>28.700000000000003</v>
      </c>
      <c r="H11" s="141"/>
      <c r="I11" s="127" t="s">
        <v>60</v>
      </c>
      <c r="J11" s="128"/>
      <c r="K11" s="128"/>
      <c r="L11" s="128"/>
      <c r="M11" s="128"/>
      <c r="N11" s="128"/>
      <c r="O11" s="128"/>
      <c r="P11" s="128"/>
      <c r="Q11" s="129"/>
      <c r="R11" s="5"/>
      <c r="S11" s="5"/>
    </row>
    <row r="12" spans="1:19" x14ac:dyDescent="0.25">
      <c r="A12" s="4" t="s">
        <v>67</v>
      </c>
      <c r="B12" s="35" t="s">
        <v>5</v>
      </c>
      <c r="C12" s="5"/>
      <c r="D12" s="14"/>
      <c r="E12" s="5">
        <v>5.0599999999999996</v>
      </c>
      <c r="F12" s="5">
        <v>43.42</v>
      </c>
      <c r="G12" s="5">
        <f t="shared" si="0"/>
        <v>38.36</v>
      </c>
      <c r="H12" s="141"/>
      <c r="I12" s="127" t="s">
        <v>60</v>
      </c>
      <c r="J12" s="128"/>
      <c r="K12" s="128"/>
      <c r="L12" s="128"/>
      <c r="M12" s="128"/>
      <c r="N12" s="128"/>
      <c r="O12" s="128"/>
      <c r="P12" s="128"/>
      <c r="Q12" s="129"/>
      <c r="R12" s="5"/>
      <c r="S12" s="5"/>
    </row>
    <row r="13" spans="1:19" x14ac:dyDescent="0.25">
      <c r="A13" s="4" t="s">
        <v>99</v>
      </c>
      <c r="B13" s="35" t="s">
        <v>37</v>
      </c>
      <c r="C13" s="5" t="s">
        <v>38</v>
      </c>
      <c r="D13" s="15" t="s">
        <v>39</v>
      </c>
      <c r="E13" s="5">
        <v>460</v>
      </c>
      <c r="F13" s="5">
        <f>M13</f>
        <v>694</v>
      </c>
      <c r="G13" s="5">
        <f t="shared" si="0"/>
        <v>234</v>
      </c>
      <c r="H13" s="141"/>
      <c r="I13" s="18">
        <v>45989</v>
      </c>
      <c r="J13" s="5" t="s">
        <v>56</v>
      </c>
      <c r="K13" s="18">
        <v>46036</v>
      </c>
      <c r="L13" s="5" t="s">
        <v>51</v>
      </c>
      <c r="M13" s="5">
        <f>2754-2060</f>
        <v>694</v>
      </c>
      <c r="N13" s="5" t="s">
        <v>49</v>
      </c>
      <c r="O13" s="5" t="s">
        <v>80</v>
      </c>
      <c r="P13" s="5" t="s">
        <v>50</v>
      </c>
      <c r="Q13" s="8">
        <v>46060</v>
      </c>
      <c r="R13" s="5"/>
      <c r="S13" s="5"/>
    </row>
    <row r="14" spans="1:19" x14ac:dyDescent="0.25">
      <c r="A14" s="4" t="s">
        <v>30</v>
      </c>
      <c r="B14" s="35"/>
      <c r="C14" s="5"/>
      <c r="D14" s="14"/>
      <c r="E14" s="5">
        <v>11.5</v>
      </c>
      <c r="F14" s="5">
        <v>164</v>
      </c>
      <c r="G14" s="5">
        <f t="shared" si="0"/>
        <v>152.5</v>
      </c>
      <c r="H14" s="141"/>
      <c r="I14" s="127" t="s">
        <v>60</v>
      </c>
      <c r="J14" s="128"/>
      <c r="K14" s="128"/>
      <c r="L14" s="128"/>
      <c r="M14" s="128"/>
      <c r="N14" s="128"/>
      <c r="O14" s="128"/>
      <c r="P14" s="128"/>
      <c r="Q14" s="129"/>
      <c r="R14" s="5"/>
      <c r="S14" s="5"/>
    </row>
    <row r="15" spans="1:19" x14ac:dyDescent="0.25">
      <c r="A15" s="4" t="s">
        <v>61</v>
      </c>
      <c r="B15" s="35" t="s">
        <v>62</v>
      </c>
      <c r="C15" s="5"/>
      <c r="D15" s="14"/>
      <c r="E15" s="5">
        <v>460</v>
      </c>
      <c r="F15" s="5">
        <v>6000</v>
      </c>
      <c r="G15" s="5">
        <f t="shared" si="0"/>
        <v>5540</v>
      </c>
      <c r="H15" s="141"/>
      <c r="I15" s="127" t="s">
        <v>60</v>
      </c>
      <c r="J15" s="128"/>
      <c r="K15" s="128"/>
      <c r="L15" s="128"/>
      <c r="M15" s="128"/>
      <c r="N15" s="128"/>
      <c r="O15" s="128"/>
      <c r="P15" s="128"/>
      <c r="Q15" s="129"/>
      <c r="R15" s="5"/>
      <c r="S15" s="5"/>
    </row>
    <row r="16" spans="1:19" x14ac:dyDescent="0.25">
      <c r="A16" s="4" t="s">
        <v>108</v>
      </c>
      <c r="B16" s="35" t="s">
        <v>84</v>
      </c>
      <c r="C16" s="5" t="s">
        <v>63</v>
      </c>
      <c r="D16" s="15" t="s">
        <v>85</v>
      </c>
      <c r="E16" s="5">
        <v>920</v>
      </c>
      <c r="F16" s="5">
        <v>8000</v>
      </c>
      <c r="G16" s="5">
        <f t="shared" si="0"/>
        <v>7080</v>
      </c>
      <c r="H16" s="141"/>
      <c r="I16" s="127" t="s">
        <v>60</v>
      </c>
      <c r="J16" s="128"/>
      <c r="K16" s="128"/>
      <c r="L16" s="128"/>
      <c r="M16" s="128"/>
      <c r="N16" s="128"/>
      <c r="O16" s="128"/>
      <c r="P16" s="128"/>
      <c r="Q16" s="129"/>
      <c r="R16" s="5"/>
      <c r="S16" s="5"/>
    </row>
    <row r="17" spans="1:19" x14ac:dyDescent="0.25">
      <c r="A17" s="4" t="s">
        <v>65</v>
      </c>
      <c r="B17" s="35" t="s">
        <v>66</v>
      </c>
      <c r="C17" s="5"/>
      <c r="D17" s="14"/>
      <c r="E17" s="5">
        <v>5.52</v>
      </c>
      <c r="F17" s="5">
        <v>302</v>
      </c>
      <c r="G17" s="5">
        <f t="shared" si="0"/>
        <v>296.48</v>
      </c>
      <c r="H17" s="141"/>
      <c r="I17" s="18">
        <v>45999</v>
      </c>
      <c r="J17" s="5" t="s">
        <v>71</v>
      </c>
      <c r="K17" s="30"/>
      <c r="L17" s="5" t="s">
        <v>69</v>
      </c>
      <c r="M17" s="5">
        <v>3000</v>
      </c>
      <c r="N17" s="5" t="s">
        <v>75</v>
      </c>
      <c r="O17" s="5" t="s">
        <v>75</v>
      </c>
      <c r="P17" s="5" t="s">
        <v>50</v>
      </c>
      <c r="Q17" s="8">
        <v>46057</v>
      </c>
      <c r="R17" s="5"/>
      <c r="S17" s="5"/>
    </row>
    <row r="18" spans="1:19" x14ac:dyDescent="0.25">
      <c r="A18" s="4" t="s">
        <v>72</v>
      </c>
      <c r="B18" s="35" t="s">
        <v>43</v>
      </c>
      <c r="C18" s="5"/>
      <c r="D18" s="14"/>
      <c r="E18" s="5">
        <v>16</v>
      </c>
      <c r="F18" s="5">
        <v>16</v>
      </c>
      <c r="G18" s="5">
        <f t="shared" si="0"/>
        <v>0</v>
      </c>
      <c r="H18" s="141"/>
      <c r="I18" s="18">
        <v>46045</v>
      </c>
      <c r="J18" s="5" t="s">
        <v>70</v>
      </c>
      <c r="K18" s="18">
        <v>46045</v>
      </c>
      <c r="L18" s="5" t="s">
        <v>64</v>
      </c>
      <c r="M18" s="5"/>
      <c r="N18" s="5" t="s">
        <v>75</v>
      </c>
      <c r="O18" s="5" t="s">
        <v>75</v>
      </c>
      <c r="P18" s="5" t="s">
        <v>50</v>
      </c>
      <c r="Q18" s="8">
        <v>46057</v>
      </c>
      <c r="R18" s="5"/>
      <c r="S18" s="5"/>
    </row>
    <row r="20" spans="1:19" x14ac:dyDescent="0.25">
      <c r="A20" s="1" t="s">
        <v>10</v>
      </c>
    </row>
    <row r="21" spans="1:19" s="11" customFormat="1" ht="30" x14ac:dyDescent="0.25">
      <c r="A21" s="9" t="s">
        <v>42</v>
      </c>
      <c r="B21" s="34" t="s">
        <v>2</v>
      </c>
      <c r="C21" s="9" t="s">
        <v>13</v>
      </c>
      <c r="D21" s="9" t="s">
        <v>14</v>
      </c>
      <c r="E21" s="9" t="s">
        <v>4</v>
      </c>
      <c r="F21" s="10" t="s">
        <v>94</v>
      </c>
      <c r="G21" s="10" t="s">
        <v>103</v>
      </c>
      <c r="H21" s="9" t="s">
        <v>34</v>
      </c>
      <c r="I21" s="9" t="s">
        <v>11</v>
      </c>
      <c r="J21" s="10" t="s">
        <v>58</v>
      </c>
      <c r="K21" s="10" t="s">
        <v>86</v>
      </c>
      <c r="L21" s="9" t="s">
        <v>8</v>
      </c>
      <c r="M21" s="9" t="s">
        <v>7</v>
      </c>
      <c r="N21" s="9" t="s">
        <v>31</v>
      </c>
      <c r="O21" s="9" t="s">
        <v>32</v>
      </c>
      <c r="P21" s="9" t="s">
        <v>29</v>
      </c>
      <c r="Q21" s="9" t="s">
        <v>33</v>
      </c>
      <c r="R21" s="9" t="s">
        <v>26</v>
      </c>
      <c r="S21" s="9" t="s">
        <v>27</v>
      </c>
    </row>
    <row r="22" spans="1:19" x14ac:dyDescent="0.25">
      <c r="A22" s="4" t="s">
        <v>0</v>
      </c>
      <c r="B22" s="35" t="s">
        <v>45</v>
      </c>
      <c r="C22" s="5"/>
      <c r="D22" s="14"/>
      <c r="E22" s="5">
        <v>15000</v>
      </c>
      <c r="F22" s="5">
        <f>G5</f>
        <v>110076</v>
      </c>
      <c r="G22" s="5">
        <f>F22-E22</f>
        <v>95076</v>
      </c>
      <c r="H22" s="141">
        <v>45803</v>
      </c>
      <c r="I22" s="127" t="s">
        <v>60</v>
      </c>
      <c r="J22" s="128"/>
      <c r="K22" s="128"/>
      <c r="L22" s="128"/>
      <c r="M22" s="128"/>
      <c r="N22" s="128"/>
      <c r="O22" s="128"/>
      <c r="P22" s="128"/>
      <c r="Q22" s="129"/>
      <c r="R22" s="5"/>
      <c r="S22" s="5"/>
    </row>
    <row r="23" spans="1:19" x14ac:dyDescent="0.25">
      <c r="A23" s="4" t="s">
        <v>105</v>
      </c>
      <c r="B23" s="98" t="s">
        <v>35</v>
      </c>
      <c r="C23" s="100" t="s">
        <v>12</v>
      </c>
      <c r="D23" s="102" t="s">
        <v>15</v>
      </c>
      <c r="E23" s="5">
        <v>1000</v>
      </c>
      <c r="F23" s="5">
        <v>2560</v>
      </c>
      <c r="G23" s="5">
        <f t="shared" ref="G23:G34" si="1">F23-E23</f>
        <v>1560</v>
      </c>
      <c r="H23" s="141"/>
      <c r="I23" s="18">
        <v>46003</v>
      </c>
      <c r="J23" s="5" t="s">
        <v>56</v>
      </c>
      <c r="K23" s="18">
        <v>46041</v>
      </c>
      <c r="L23" s="7" t="s">
        <v>74</v>
      </c>
      <c r="M23" s="5">
        <v>2060</v>
      </c>
      <c r="N23" s="5" t="s">
        <v>49</v>
      </c>
      <c r="O23" s="5" t="s">
        <v>80</v>
      </c>
      <c r="P23" s="5" t="s">
        <v>50</v>
      </c>
      <c r="Q23" s="8">
        <v>46059</v>
      </c>
      <c r="R23" s="25">
        <v>46063</v>
      </c>
      <c r="S23" s="8">
        <v>46067</v>
      </c>
    </row>
    <row r="24" spans="1:19" x14ac:dyDescent="0.25">
      <c r="A24" s="4" t="s">
        <v>59</v>
      </c>
      <c r="B24" s="99"/>
      <c r="C24" s="101"/>
      <c r="D24" s="103"/>
      <c r="E24" s="5">
        <v>118</v>
      </c>
      <c r="F24" s="5">
        <f>G8</f>
        <v>374.52</v>
      </c>
      <c r="G24" s="5">
        <f t="shared" si="1"/>
        <v>256.52</v>
      </c>
      <c r="H24" s="141"/>
      <c r="I24" s="127" t="s">
        <v>60</v>
      </c>
      <c r="J24" s="128"/>
      <c r="K24" s="128"/>
      <c r="L24" s="128"/>
      <c r="M24" s="128"/>
      <c r="N24" s="128"/>
      <c r="O24" s="128"/>
      <c r="P24" s="128"/>
      <c r="Q24" s="129"/>
      <c r="R24" s="5"/>
      <c r="S24" s="5"/>
    </row>
    <row r="25" spans="1:19" x14ac:dyDescent="0.25">
      <c r="A25" s="4" t="s">
        <v>47</v>
      </c>
      <c r="B25" s="98" t="s">
        <v>36</v>
      </c>
      <c r="C25" s="100" t="s">
        <v>41</v>
      </c>
      <c r="D25" s="146" t="s">
        <v>40</v>
      </c>
      <c r="E25" s="5">
        <v>703</v>
      </c>
      <c r="F25" s="5">
        <f>G9</f>
        <v>868.76</v>
      </c>
      <c r="G25" s="5">
        <f t="shared" si="1"/>
        <v>165.76</v>
      </c>
      <c r="H25" s="141"/>
      <c r="I25" s="119">
        <v>46045</v>
      </c>
      <c r="J25" s="5" t="s">
        <v>56</v>
      </c>
      <c r="K25" s="119">
        <v>46048</v>
      </c>
      <c r="L25" s="5" t="s">
        <v>46</v>
      </c>
      <c r="M25" s="5">
        <v>1050</v>
      </c>
      <c r="N25" s="5" t="s">
        <v>49</v>
      </c>
      <c r="O25" s="5" t="s">
        <v>80</v>
      </c>
      <c r="P25" s="5" t="s">
        <v>50</v>
      </c>
      <c r="Q25" s="8">
        <v>46059</v>
      </c>
      <c r="R25" s="5"/>
      <c r="S25" s="5"/>
    </row>
    <row r="26" spans="1:19" x14ac:dyDescent="0.25">
      <c r="A26" s="4" t="s">
        <v>48</v>
      </c>
      <c r="B26" s="99"/>
      <c r="C26" s="101"/>
      <c r="D26" s="147"/>
      <c r="E26" s="5">
        <v>1054.5</v>
      </c>
      <c r="F26" s="5">
        <f t="shared" ref="F26:F30" si="2">G10</f>
        <v>1228.1399999999999</v>
      </c>
      <c r="G26" s="5">
        <f t="shared" si="1"/>
        <v>173.63999999999987</v>
      </c>
      <c r="H26" s="141"/>
      <c r="I26" s="140"/>
      <c r="J26" s="5" t="s">
        <v>56</v>
      </c>
      <c r="K26" s="140"/>
      <c r="L26" s="5" t="s">
        <v>46</v>
      </c>
      <c r="M26" s="5">
        <v>1500</v>
      </c>
      <c r="N26" s="5" t="s">
        <v>49</v>
      </c>
      <c r="O26" s="5" t="s">
        <v>80</v>
      </c>
      <c r="P26" s="5" t="s">
        <v>50</v>
      </c>
      <c r="Q26" s="8">
        <v>46059</v>
      </c>
      <c r="R26" s="5"/>
      <c r="S26" s="5"/>
    </row>
    <row r="27" spans="1:19" x14ac:dyDescent="0.25">
      <c r="A27" s="4" t="s">
        <v>3</v>
      </c>
      <c r="B27" s="35" t="s">
        <v>68</v>
      </c>
      <c r="C27" s="5"/>
      <c r="D27" s="15"/>
      <c r="E27" s="5">
        <v>0.74</v>
      </c>
      <c r="F27" s="5">
        <f t="shared" si="2"/>
        <v>28.700000000000003</v>
      </c>
      <c r="G27" s="5">
        <f t="shared" si="1"/>
        <v>27.960000000000004</v>
      </c>
      <c r="H27" s="141"/>
      <c r="I27" s="127" t="s">
        <v>60</v>
      </c>
      <c r="J27" s="128"/>
      <c r="K27" s="128"/>
      <c r="L27" s="128"/>
      <c r="M27" s="128"/>
      <c r="N27" s="128"/>
      <c r="O27" s="128"/>
      <c r="P27" s="128"/>
      <c r="Q27" s="129"/>
      <c r="R27" s="5"/>
      <c r="S27" s="5"/>
    </row>
    <row r="28" spans="1:19" x14ac:dyDescent="0.25">
      <c r="A28" s="4" t="s">
        <v>67</v>
      </c>
      <c r="B28" s="35" t="s">
        <v>5</v>
      </c>
      <c r="C28" s="5" t="s">
        <v>16</v>
      </c>
      <c r="D28" s="15" t="s">
        <v>6</v>
      </c>
      <c r="E28" s="5">
        <v>5.0599999999999996</v>
      </c>
      <c r="F28" s="5">
        <f t="shared" si="2"/>
        <v>38.36</v>
      </c>
      <c r="G28" s="5">
        <f t="shared" si="1"/>
        <v>33.299999999999997</v>
      </c>
      <c r="H28" s="141"/>
      <c r="I28" s="127" t="s">
        <v>60</v>
      </c>
      <c r="J28" s="128"/>
      <c r="K28" s="128"/>
      <c r="L28" s="128"/>
      <c r="M28" s="128"/>
      <c r="N28" s="128"/>
      <c r="O28" s="128"/>
      <c r="P28" s="128"/>
      <c r="Q28" s="129"/>
      <c r="R28" s="5"/>
      <c r="S28" s="5"/>
    </row>
    <row r="29" spans="1:19" x14ac:dyDescent="0.25">
      <c r="A29" s="22" t="s">
        <v>99</v>
      </c>
      <c r="B29" s="35" t="s">
        <v>37</v>
      </c>
      <c r="C29" s="5" t="s">
        <v>38</v>
      </c>
      <c r="D29" s="15" t="s">
        <v>39</v>
      </c>
      <c r="E29" s="5">
        <v>1025</v>
      </c>
      <c r="F29" s="5">
        <f>G13+M29</f>
        <v>1264</v>
      </c>
      <c r="G29" s="5">
        <f t="shared" si="1"/>
        <v>239</v>
      </c>
      <c r="H29" s="141"/>
      <c r="I29" s="18">
        <v>45989</v>
      </c>
      <c r="J29" s="5" t="s">
        <v>56</v>
      </c>
      <c r="K29" s="18">
        <v>46036</v>
      </c>
      <c r="L29" s="5" t="s">
        <v>51</v>
      </c>
      <c r="M29" s="5">
        <v>1030</v>
      </c>
      <c r="N29" s="5" t="s">
        <v>49</v>
      </c>
      <c r="O29" s="5" t="s">
        <v>80</v>
      </c>
      <c r="P29" s="5" t="s">
        <v>50</v>
      </c>
      <c r="Q29" s="8">
        <v>46060</v>
      </c>
      <c r="R29" s="5"/>
      <c r="S29" s="5"/>
    </row>
    <row r="30" spans="1:19" x14ac:dyDescent="0.25">
      <c r="A30" s="4" t="s">
        <v>30</v>
      </c>
      <c r="B30" s="35"/>
      <c r="C30" s="5"/>
      <c r="D30" s="14"/>
      <c r="E30" s="5">
        <v>25</v>
      </c>
      <c r="F30" s="5">
        <f t="shared" si="2"/>
        <v>152.5</v>
      </c>
      <c r="G30" s="5">
        <f t="shared" si="1"/>
        <v>127.5</v>
      </c>
      <c r="H30" s="141"/>
      <c r="I30" s="127" t="s">
        <v>60</v>
      </c>
      <c r="J30" s="128"/>
      <c r="K30" s="128"/>
      <c r="L30" s="128"/>
      <c r="M30" s="128"/>
      <c r="N30" s="128"/>
      <c r="O30" s="128"/>
      <c r="P30" s="128"/>
      <c r="Q30" s="129"/>
      <c r="R30" s="5"/>
      <c r="S30" s="5"/>
    </row>
    <row r="31" spans="1:19" x14ac:dyDescent="0.25">
      <c r="A31" s="4" t="s">
        <v>61</v>
      </c>
      <c r="B31" s="35" t="s">
        <v>62</v>
      </c>
      <c r="C31" s="5"/>
      <c r="D31" s="14"/>
      <c r="E31" s="5">
        <v>1000</v>
      </c>
      <c r="F31" s="5">
        <v>5000</v>
      </c>
      <c r="G31" s="5">
        <f t="shared" si="1"/>
        <v>4000</v>
      </c>
      <c r="H31" s="141"/>
      <c r="I31" s="127" t="s">
        <v>60</v>
      </c>
      <c r="J31" s="128"/>
      <c r="K31" s="128"/>
      <c r="L31" s="128"/>
      <c r="M31" s="128"/>
      <c r="N31" s="128"/>
      <c r="O31" s="128"/>
      <c r="P31" s="128"/>
      <c r="Q31" s="129"/>
      <c r="R31" s="5"/>
      <c r="S31" s="5"/>
    </row>
    <row r="32" spans="1:19" x14ac:dyDescent="0.25">
      <c r="A32" s="4" t="s">
        <v>110</v>
      </c>
      <c r="B32" s="98" t="s">
        <v>44</v>
      </c>
      <c r="C32" s="100" t="s">
        <v>63</v>
      </c>
      <c r="D32" s="149"/>
      <c r="E32" s="5">
        <v>1000</v>
      </c>
      <c r="F32" s="5">
        <v>2280</v>
      </c>
      <c r="G32" s="5">
        <f t="shared" si="1"/>
        <v>1280</v>
      </c>
      <c r="H32" s="141"/>
      <c r="I32" s="127" t="s">
        <v>60</v>
      </c>
      <c r="J32" s="128"/>
      <c r="K32" s="128"/>
      <c r="L32" s="128"/>
      <c r="M32" s="128"/>
      <c r="N32" s="128"/>
      <c r="O32" s="128"/>
      <c r="P32" s="128"/>
      <c r="Q32" s="129"/>
      <c r="R32" s="5"/>
      <c r="S32" s="5"/>
    </row>
    <row r="33" spans="1:19" x14ac:dyDescent="0.25">
      <c r="A33" s="4" t="s">
        <v>109</v>
      </c>
      <c r="B33" s="99"/>
      <c r="C33" s="101"/>
      <c r="D33" s="150"/>
      <c r="E33" s="5">
        <v>1000</v>
      </c>
      <c r="F33" s="5">
        <v>2280</v>
      </c>
      <c r="G33" s="5">
        <f t="shared" si="1"/>
        <v>1280</v>
      </c>
      <c r="H33" s="141"/>
      <c r="I33" s="127" t="s">
        <v>60</v>
      </c>
      <c r="J33" s="128"/>
      <c r="K33" s="128"/>
      <c r="L33" s="128"/>
      <c r="M33" s="128"/>
      <c r="N33" s="128"/>
      <c r="O33" s="128"/>
      <c r="P33" s="128"/>
      <c r="Q33" s="129"/>
      <c r="R33" s="5"/>
      <c r="S33" s="5"/>
    </row>
    <row r="34" spans="1:19" x14ac:dyDescent="0.25">
      <c r="A34" s="4" t="s">
        <v>65</v>
      </c>
      <c r="B34" s="35" t="s">
        <v>66</v>
      </c>
      <c r="C34" s="5"/>
      <c r="D34" s="14"/>
      <c r="E34" s="5">
        <v>95</v>
      </c>
      <c r="F34" s="5">
        <f>G17</f>
        <v>296.48</v>
      </c>
      <c r="G34" s="5">
        <f t="shared" si="1"/>
        <v>201.48000000000002</v>
      </c>
      <c r="H34" s="141"/>
      <c r="I34" s="18">
        <v>45999</v>
      </c>
      <c r="J34" s="5" t="s">
        <v>71</v>
      </c>
      <c r="K34" s="30"/>
      <c r="L34" s="5" t="s">
        <v>69</v>
      </c>
      <c r="M34" s="5">
        <v>3000</v>
      </c>
      <c r="N34" s="5" t="s">
        <v>75</v>
      </c>
      <c r="O34" s="5" t="s">
        <v>75</v>
      </c>
      <c r="P34" s="5" t="s">
        <v>54</v>
      </c>
      <c r="Q34" s="8"/>
      <c r="R34" s="5"/>
      <c r="S34" s="5"/>
    </row>
    <row r="35" spans="1:19" x14ac:dyDescent="0.25">
      <c r="A35" s="4" t="s">
        <v>72</v>
      </c>
      <c r="B35" s="35" t="s">
        <v>43</v>
      </c>
      <c r="C35" s="5"/>
      <c r="D35" s="14"/>
      <c r="E35" s="5">
        <v>34</v>
      </c>
      <c r="F35" s="5">
        <v>0</v>
      </c>
      <c r="G35" s="5">
        <f>F35-E35</f>
        <v>-34</v>
      </c>
      <c r="H35" s="141"/>
      <c r="I35" s="18">
        <v>46045</v>
      </c>
      <c r="J35" s="5" t="s">
        <v>70</v>
      </c>
      <c r="K35" s="18">
        <v>46045</v>
      </c>
      <c r="L35" s="5" t="s">
        <v>64</v>
      </c>
      <c r="M35" s="5"/>
      <c r="N35" s="5" t="s">
        <v>75</v>
      </c>
      <c r="O35" s="5" t="s">
        <v>75</v>
      </c>
      <c r="P35" s="5" t="s">
        <v>82</v>
      </c>
      <c r="Q35" s="8"/>
      <c r="R35" s="5"/>
      <c r="S35" s="5"/>
    </row>
    <row r="37" spans="1:19" x14ac:dyDescent="0.25">
      <c r="A37" s="1" t="s">
        <v>19</v>
      </c>
    </row>
    <row r="38" spans="1:19" s="11" customFormat="1" ht="30" x14ac:dyDescent="0.25">
      <c r="A38" s="9" t="s">
        <v>42</v>
      </c>
      <c r="B38" s="34" t="s">
        <v>2</v>
      </c>
      <c r="C38" s="9" t="s">
        <v>13</v>
      </c>
      <c r="D38" s="13" t="s">
        <v>14</v>
      </c>
      <c r="E38" s="9" t="s">
        <v>4</v>
      </c>
      <c r="F38" s="10" t="s">
        <v>94</v>
      </c>
      <c r="G38" s="10" t="s">
        <v>103</v>
      </c>
      <c r="H38" s="9" t="s">
        <v>34</v>
      </c>
      <c r="I38" s="9" t="s">
        <v>11</v>
      </c>
      <c r="J38" s="10" t="s">
        <v>58</v>
      </c>
      <c r="K38" s="10" t="s">
        <v>86</v>
      </c>
      <c r="L38" s="9" t="s">
        <v>8</v>
      </c>
      <c r="M38" s="9" t="s">
        <v>7</v>
      </c>
      <c r="N38" s="9" t="s">
        <v>31</v>
      </c>
      <c r="O38" s="9" t="s">
        <v>32</v>
      </c>
      <c r="P38" s="9" t="s">
        <v>29</v>
      </c>
      <c r="Q38" s="9" t="s">
        <v>33</v>
      </c>
      <c r="R38" s="9" t="s">
        <v>26</v>
      </c>
      <c r="S38" s="9" t="s">
        <v>27</v>
      </c>
    </row>
    <row r="39" spans="1:19" x14ac:dyDescent="0.25">
      <c r="A39" s="4" t="s">
        <v>0</v>
      </c>
      <c r="B39" s="35" t="s">
        <v>45</v>
      </c>
      <c r="C39" s="5"/>
      <c r="D39" s="14"/>
      <c r="E39" s="5">
        <v>15000</v>
      </c>
      <c r="F39" s="5">
        <f>G22</f>
        <v>95076</v>
      </c>
      <c r="G39" s="5">
        <f>F39-E39</f>
        <v>80076</v>
      </c>
      <c r="H39" s="141">
        <v>45902</v>
      </c>
      <c r="I39" s="127" t="s">
        <v>60</v>
      </c>
      <c r="J39" s="128"/>
      <c r="K39" s="128"/>
      <c r="L39" s="128"/>
      <c r="M39" s="128"/>
      <c r="N39" s="128"/>
      <c r="O39" s="128"/>
      <c r="P39" s="128"/>
      <c r="Q39" s="129"/>
      <c r="R39" s="5"/>
      <c r="S39" s="5"/>
    </row>
    <row r="40" spans="1:19" x14ac:dyDescent="0.25">
      <c r="A40" s="4" t="s">
        <v>105</v>
      </c>
      <c r="B40" s="98" t="s">
        <v>35</v>
      </c>
      <c r="C40" s="100" t="s">
        <v>12</v>
      </c>
      <c r="D40" s="102" t="s">
        <v>15</v>
      </c>
      <c r="E40" s="5">
        <v>1000</v>
      </c>
      <c r="F40" s="5">
        <f t="shared" ref="F40:F43" si="3">G23</f>
        <v>1560</v>
      </c>
      <c r="G40" s="5">
        <f t="shared" ref="G40:G53" si="4">F40-E40</f>
        <v>560</v>
      </c>
      <c r="H40" s="141"/>
      <c r="I40" s="119">
        <v>46055</v>
      </c>
      <c r="J40" s="100" t="s">
        <v>56</v>
      </c>
      <c r="K40" s="119">
        <v>46056</v>
      </c>
      <c r="L40" s="100" t="s">
        <v>53</v>
      </c>
      <c r="M40" s="5">
        <v>2100</v>
      </c>
      <c r="N40" s="100" t="s">
        <v>49</v>
      </c>
      <c r="O40" s="106" t="s">
        <v>81</v>
      </c>
      <c r="P40" s="106" t="s">
        <v>87</v>
      </c>
      <c r="Q40" s="111">
        <v>46071</v>
      </c>
      <c r="R40" s="25" t="s">
        <v>113</v>
      </c>
      <c r="S40" s="5"/>
    </row>
    <row r="41" spans="1:19" x14ac:dyDescent="0.25">
      <c r="A41" s="4" t="s">
        <v>59</v>
      </c>
      <c r="B41" s="99"/>
      <c r="C41" s="101"/>
      <c r="D41" s="103"/>
      <c r="E41" s="5">
        <v>118</v>
      </c>
      <c r="F41" s="5">
        <f t="shared" si="3"/>
        <v>256.52</v>
      </c>
      <c r="G41" s="5">
        <f t="shared" si="4"/>
        <v>138.51999999999998</v>
      </c>
      <c r="H41" s="141"/>
      <c r="I41" s="140"/>
      <c r="J41" s="101"/>
      <c r="K41" s="101"/>
      <c r="L41" s="101"/>
      <c r="M41" s="5">
        <v>392</v>
      </c>
      <c r="N41" s="101"/>
      <c r="O41" s="107"/>
      <c r="P41" s="107"/>
      <c r="Q41" s="112"/>
      <c r="R41" s="5"/>
      <c r="S41" s="5"/>
    </row>
    <row r="42" spans="1:19" x14ac:dyDescent="0.25">
      <c r="A42" s="4" t="s">
        <v>47</v>
      </c>
      <c r="B42" s="98" t="s">
        <v>36</v>
      </c>
      <c r="C42" s="100" t="s">
        <v>41</v>
      </c>
      <c r="D42" s="146" t="s">
        <v>40</v>
      </c>
      <c r="E42" s="5">
        <v>703</v>
      </c>
      <c r="F42" s="5">
        <f>G25</f>
        <v>165.76</v>
      </c>
      <c r="G42" s="26">
        <f t="shared" si="4"/>
        <v>-537.24</v>
      </c>
      <c r="H42" s="141"/>
      <c r="I42" s="119">
        <v>46051</v>
      </c>
      <c r="J42" s="100" t="s">
        <v>56</v>
      </c>
      <c r="K42" s="119">
        <v>46056</v>
      </c>
      <c r="L42" s="100" t="s">
        <v>52</v>
      </c>
      <c r="M42" s="5">
        <v>2850</v>
      </c>
      <c r="N42" s="162" t="s">
        <v>95</v>
      </c>
      <c r="O42" s="106" t="s">
        <v>91</v>
      </c>
      <c r="P42" s="5" t="s">
        <v>54</v>
      </c>
      <c r="Q42" s="111">
        <v>46091</v>
      </c>
      <c r="R42" s="5"/>
      <c r="S42" s="5"/>
    </row>
    <row r="43" spans="1:19" x14ac:dyDescent="0.25">
      <c r="A43" s="4" t="s">
        <v>48</v>
      </c>
      <c r="B43" s="99"/>
      <c r="C43" s="101"/>
      <c r="D43" s="147"/>
      <c r="E43" s="5">
        <v>1054.5</v>
      </c>
      <c r="F43" s="5">
        <f t="shared" si="3"/>
        <v>173.63999999999987</v>
      </c>
      <c r="G43" s="26">
        <f t="shared" si="4"/>
        <v>-880.86000000000013</v>
      </c>
      <c r="H43" s="141"/>
      <c r="I43" s="101"/>
      <c r="J43" s="101"/>
      <c r="K43" s="101"/>
      <c r="L43" s="101"/>
      <c r="M43" s="6">
        <v>3750</v>
      </c>
      <c r="N43" s="163"/>
      <c r="O43" s="107"/>
      <c r="P43" s="5" t="s">
        <v>54</v>
      </c>
      <c r="Q43" s="112"/>
      <c r="R43" s="5"/>
      <c r="S43" s="5"/>
    </row>
    <row r="44" spans="1:19" x14ac:dyDescent="0.25">
      <c r="A44" s="151" t="s">
        <v>106</v>
      </c>
      <c r="B44" s="98" t="s">
        <v>93</v>
      </c>
      <c r="C44" s="100" t="s">
        <v>88</v>
      </c>
      <c r="D44" s="102"/>
      <c r="E44" s="100">
        <f>E43+E42</f>
        <v>1757.5</v>
      </c>
      <c r="F44" s="26" t="s">
        <v>92</v>
      </c>
      <c r="G44" s="26" t="s">
        <v>92</v>
      </c>
      <c r="H44" s="141"/>
      <c r="I44" s="113">
        <v>46062</v>
      </c>
      <c r="J44" s="100" t="s">
        <v>56</v>
      </c>
      <c r="K44" s="119">
        <v>46064</v>
      </c>
      <c r="L44" s="117" t="s">
        <v>90</v>
      </c>
      <c r="M44" s="5">
        <v>2250</v>
      </c>
      <c r="N44" s="21" t="s">
        <v>49</v>
      </c>
      <c r="O44" s="106" t="s">
        <v>81</v>
      </c>
      <c r="P44" s="5" t="s">
        <v>54</v>
      </c>
      <c r="Q44" s="23">
        <v>46082</v>
      </c>
      <c r="R44" s="38" t="s">
        <v>114</v>
      </c>
      <c r="S44" s="5"/>
    </row>
    <row r="45" spans="1:19" x14ac:dyDescent="0.25">
      <c r="A45" s="152"/>
      <c r="B45" s="99"/>
      <c r="C45" s="101"/>
      <c r="D45" s="103"/>
      <c r="E45" s="101"/>
      <c r="F45" s="26" t="s">
        <v>92</v>
      </c>
      <c r="G45" s="26" t="s">
        <v>92</v>
      </c>
      <c r="H45" s="141"/>
      <c r="I45" s="114"/>
      <c r="J45" s="101"/>
      <c r="K45" s="101"/>
      <c r="L45" s="118"/>
      <c r="M45" s="6">
        <f>6300-M44</f>
        <v>4050</v>
      </c>
      <c r="N45" s="21" t="s">
        <v>89</v>
      </c>
      <c r="O45" s="107"/>
      <c r="P45" s="5" t="s">
        <v>54</v>
      </c>
      <c r="Q45" s="23">
        <v>46091</v>
      </c>
      <c r="R45" s="5"/>
      <c r="S45" s="5"/>
    </row>
    <row r="46" spans="1:19" x14ac:dyDescent="0.25">
      <c r="A46" s="4" t="s">
        <v>3</v>
      </c>
      <c r="B46" s="35" t="s">
        <v>68</v>
      </c>
      <c r="C46" s="5"/>
      <c r="D46" s="15"/>
      <c r="E46" s="5">
        <v>2</v>
      </c>
      <c r="F46" s="5">
        <f>G27</f>
        <v>27.960000000000004</v>
      </c>
      <c r="G46" s="5">
        <f t="shared" si="4"/>
        <v>25.960000000000004</v>
      </c>
      <c r="H46" s="141"/>
      <c r="I46" s="127" t="s">
        <v>60</v>
      </c>
      <c r="J46" s="128"/>
      <c r="K46" s="128"/>
      <c r="L46" s="128"/>
      <c r="M46" s="128"/>
      <c r="N46" s="128"/>
      <c r="O46" s="128"/>
      <c r="P46" s="128"/>
      <c r="Q46" s="129"/>
      <c r="R46" s="5"/>
      <c r="S46" s="5"/>
    </row>
    <row r="47" spans="1:19" x14ac:dyDescent="0.25">
      <c r="A47" s="4" t="s">
        <v>67</v>
      </c>
      <c r="B47" s="35" t="s">
        <v>5</v>
      </c>
      <c r="C47" s="5" t="s">
        <v>16</v>
      </c>
      <c r="D47" s="15" t="s">
        <v>6</v>
      </c>
      <c r="E47" s="5">
        <v>25</v>
      </c>
      <c r="F47" s="5">
        <f>G28+M47</f>
        <v>83.3</v>
      </c>
      <c r="G47" s="5">
        <f t="shared" si="4"/>
        <v>58.3</v>
      </c>
      <c r="H47" s="141"/>
      <c r="I47" s="5"/>
      <c r="J47" s="5" t="s">
        <v>56</v>
      </c>
      <c r="K47" s="18">
        <v>46041</v>
      </c>
      <c r="L47" s="5" t="s">
        <v>79</v>
      </c>
      <c r="M47" s="5">
        <v>50</v>
      </c>
      <c r="N47" s="5" t="s">
        <v>49</v>
      </c>
      <c r="O47" s="5" t="s">
        <v>80</v>
      </c>
      <c r="P47" s="5" t="s">
        <v>50</v>
      </c>
      <c r="Q47" s="8">
        <v>46060</v>
      </c>
      <c r="R47" s="5"/>
      <c r="S47" s="5"/>
    </row>
    <row r="48" spans="1:19" x14ac:dyDescent="0.25">
      <c r="A48" s="22" t="s">
        <v>96</v>
      </c>
      <c r="B48" s="35" t="s">
        <v>37</v>
      </c>
      <c r="C48" s="5" t="s">
        <v>38</v>
      </c>
      <c r="D48" s="15" t="s">
        <v>39</v>
      </c>
      <c r="E48" s="5">
        <v>1025</v>
      </c>
      <c r="F48" s="5">
        <f>G29+M48</f>
        <v>1269</v>
      </c>
      <c r="G48" s="5">
        <f t="shared" si="4"/>
        <v>244</v>
      </c>
      <c r="H48" s="141"/>
      <c r="I48" s="20">
        <v>45989</v>
      </c>
      <c r="J48" s="5" t="s">
        <v>56</v>
      </c>
      <c r="K48" s="18">
        <v>46036</v>
      </c>
      <c r="L48" s="5" t="s">
        <v>51</v>
      </c>
      <c r="M48" s="5">
        <v>1030</v>
      </c>
      <c r="N48" s="5" t="s">
        <v>49</v>
      </c>
      <c r="O48" s="5" t="s">
        <v>80</v>
      </c>
      <c r="P48" s="5" t="s">
        <v>50</v>
      </c>
      <c r="Q48" s="8">
        <v>46060</v>
      </c>
      <c r="R48" s="5"/>
      <c r="S48" s="5"/>
    </row>
    <row r="49" spans="1:19" x14ac:dyDescent="0.25">
      <c r="A49" s="4" t="s">
        <v>30</v>
      </c>
      <c r="B49" s="35"/>
      <c r="C49" s="5"/>
      <c r="D49" s="14"/>
      <c r="E49" s="5">
        <v>25</v>
      </c>
      <c r="F49" s="5">
        <f>G30</f>
        <v>127.5</v>
      </c>
      <c r="G49" s="5">
        <f t="shared" si="4"/>
        <v>102.5</v>
      </c>
      <c r="H49" s="141"/>
      <c r="I49" s="127" t="s">
        <v>60</v>
      </c>
      <c r="J49" s="128"/>
      <c r="K49" s="128"/>
      <c r="L49" s="128"/>
      <c r="M49" s="128"/>
      <c r="N49" s="128"/>
      <c r="O49" s="128"/>
      <c r="P49" s="128"/>
      <c r="Q49" s="129"/>
      <c r="R49" s="5"/>
      <c r="S49" s="5"/>
    </row>
    <row r="50" spans="1:19" x14ac:dyDescent="0.25">
      <c r="A50" s="4" t="s">
        <v>110</v>
      </c>
      <c r="B50" s="98" t="s">
        <v>44</v>
      </c>
      <c r="C50" s="100" t="s">
        <v>63</v>
      </c>
      <c r="D50" s="14"/>
      <c r="E50" s="5">
        <v>1000</v>
      </c>
      <c r="F50" s="5">
        <f>G32</f>
        <v>1280</v>
      </c>
      <c r="G50" s="5">
        <f t="shared" si="4"/>
        <v>280</v>
      </c>
      <c r="H50" s="141"/>
      <c r="I50" s="119">
        <v>46034</v>
      </c>
      <c r="J50" s="100" t="s">
        <v>57</v>
      </c>
      <c r="K50" s="119">
        <v>46058</v>
      </c>
      <c r="L50" s="5" t="s">
        <v>107</v>
      </c>
      <c r="M50" s="5">
        <v>5250</v>
      </c>
      <c r="N50" s="5" t="s">
        <v>112</v>
      </c>
      <c r="O50" s="5"/>
      <c r="P50" s="5" t="s">
        <v>54</v>
      </c>
      <c r="Q50" s="5"/>
      <c r="R50" s="5"/>
      <c r="S50" s="5"/>
    </row>
    <row r="51" spans="1:19" x14ac:dyDescent="0.25">
      <c r="A51" s="4" t="s">
        <v>109</v>
      </c>
      <c r="B51" s="99"/>
      <c r="C51" s="101"/>
      <c r="D51" s="14"/>
      <c r="E51" s="5">
        <v>1000</v>
      </c>
      <c r="F51" s="5">
        <f>G33</f>
        <v>1280</v>
      </c>
      <c r="G51" s="5">
        <f t="shared" si="4"/>
        <v>280</v>
      </c>
      <c r="H51" s="141"/>
      <c r="I51" s="101"/>
      <c r="J51" s="101"/>
      <c r="K51" s="101"/>
      <c r="L51" s="5" t="s">
        <v>107</v>
      </c>
      <c r="M51" s="5">
        <v>5250</v>
      </c>
      <c r="N51" s="5" t="s">
        <v>112</v>
      </c>
      <c r="O51" s="5"/>
      <c r="P51" s="5" t="s">
        <v>54</v>
      </c>
      <c r="Q51" s="5"/>
      <c r="R51" s="5"/>
      <c r="S51" s="5"/>
    </row>
    <row r="52" spans="1:19" x14ac:dyDescent="0.25">
      <c r="A52" s="4" t="s">
        <v>65</v>
      </c>
      <c r="B52" s="35" t="s">
        <v>66</v>
      </c>
      <c r="C52" s="5"/>
      <c r="D52" s="14"/>
      <c r="E52" s="5">
        <v>95</v>
      </c>
      <c r="F52" s="5">
        <f>G34</f>
        <v>201.48000000000002</v>
      </c>
      <c r="G52" s="5">
        <f t="shared" si="4"/>
        <v>106.48000000000002</v>
      </c>
      <c r="H52" s="141"/>
      <c r="I52" s="18">
        <v>45999</v>
      </c>
      <c r="J52" s="5" t="s">
        <v>71</v>
      </c>
      <c r="K52" s="30"/>
      <c r="L52" s="5" t="s">
        <v>69</v>
      </c>
      <c r="M52" s="5">
        <v>3000</v>
      </c>
      <c r="N52" s="5" t="s">
        <v>75</v>
      </c>
      <c r="O52" s="5" t="s">
        <v>75</v>
      </c>
      <c r="P52" s="5" t="s">
        <v>54</v>
      </c>
      <c r="Q52" s="5"/>
      <c r="R52" s="5"/>
      <c r="S52" s="5"/>
    </row>
    <row r="53" spans="1:19" x14ac:dyDescent="0.25">
      <c r="A53" s="4" t="s">
        <v>72</v>
      </c>
      <c r="B53" s="35" t="s">
        <v>43</v>
      </c>
      <c r="C53" s="5"/>
      <c r="D53" s="14"/>
      <c r="E53" s="5">
        <v>34</v>
      </c>
      <c r="F53" s="5">
        <v>0</v>
      </c>
      <c r="G53" s="5">
        <f t="shared" si="4"/>
        <v>-34</v>
      </c>
      <c r="H53" s="141"/>
      <c r="I53" s="18">
        <v>46045</v>
      </c>
      <c r="J53" s="5" t="s">
        <v>70</v>
      </c>
      <c r="K53" s="18">
        <v>46045</v>
      </c>
      <c r="L53" s="5" t="s">
        <v>64</v>
      </c>
      <c r="M53" s="5"/>
      <c r="N53" s="5" t="s">
        <v>75</v>
      </c>
      <c r="O53" s="5" t="s">
        <v>75</v>
      </c>
      <c r="P53" s="5" t="s">
        <v>82</v>
      </c>
      <c r="Q53" s="5"/>
      <c r="R53" s="5"/>
      <c r="S53" s="5"/>
    </row>
    <row r="55" spans="1:19" x14ac:dyDescent="0.25">
      <c r="A55" s="1" t="s">
        <v>76</v>
      </c>
      <c r="B55" s="33" t="s">
        <v>77</v>
      </c>
    </row>
    <row r="56" spans="1:19" s="11" customFormat="1" ht="30" x14ac:dyDescent="0.25">
      <c r="A56" s="9" t="s">
        <v>42</v>
      </c>
      <c r="B56" s="34" t="s">
        <v>2</v>
      </c>
      <c r="C56" s="9" t="s">
        <v>13</v>
      </c>
      <c r="D56" s="13" t="s">
        <v>14</v>
      </c>
      <c r="E56" s="9" t="s">
        <v>4</v>
      </c>
      <c r="F56" s="10" t="s">
        <v>94</v>
      </c>
      <c r="G56" s="10" t="s">
        <v>103</v>
      </c>
      <c r="H56" s="9" t="s">
        <v>34</v>
      </c>
      <c r="I56" s="9" t="s">
        <v>11</v>
      </c>
      <c r="J56" s="10" t="s">
        <v>58</v>
      </c>
      <c r="K56" s="10" t="s">
        <v>86</v>
      </c>
      <c r="L56" s="9" t="s">
        <v>8</v>
      </c>
      <c r="M56" s="9" t="s">
        <v>7</v>
      </c>
      <c r="N56" s="9" t="s">
        <v>31</v>
      </c>
      <c r="O56" s="9" t="s">
        <v>32</v>
      </c>
      <c r="P56" s="9" t="s">
        <v>29</v>
      </c>
      <c r="Q56" s="9" t="s">
        <v>33</v>
      </c>
      <c r="R56" s="9" t="s">
        <v>26</v>
      </c>
      <c r="S56" s="9" t="s">
        <v>27</v>
      </c>
    </row>
    <row r="57" spans="1:19" x14ac:dyDescent="0.25">
      <c r="A57" s="4" t="s">
        <v>0</v>
      </c>
      <c r="B57" s="35" t="s">
        <v>45</v>
      </c>
      <c r="C57" s="5"/>
      <c r="D57" s="14"/>
      <c r="E57" s="5">
        <v>21334</v>
      </c>
      <c r="F57" s="5">
        <f>G39</f>
        <v>80076</v>
      </c>
      <c r="G57" s="5">
        <f>F57-E57</f>
        <v>58742</v>
      </c>
      <c r="H57" s="141">
        <v>45932</v>
      </c>
      <c r="I57" s="127" t="s">
        <v>60</v>
      </c>
      <c r="J57" s="128"/>
      <c r="K57" s="128"/>
      <c r="L57" s="128"/>
      <c r="M57" s="128"/>
      <c r="N57" s="128"/>
      <c r="O57" s="128"/>
      <c r="P57" s="128"/>
      <c r="Q57" s="129"/>
      <c r="R57" s="5"/>
      <c r="S57" s="5"/>
    </row>
    <row r="58" spans="1:19" ht="15" customHeight="1" x14ac:dyDescent="0.25">
      <c r="A58" s="4" t="s">
        <v>104</v>
      </c>
      <c r="B58" s="98" t="s">
        <v>35</v>
      </c>
      <c r="C58" s="100" t="s">
        <v>12</v>
      </c>
      <c r="D58" s="102" t="s">
        <v>15</v>
      </c>
      <c r="E58" s="5">
        <v>2000</v>
      </c>
      <c r="F58" s="5">
        <f>G6</f>
        <v>776</v>
      </c>
      <c r="G58" s="26">
        <f t="shared" ref="G58:G72" si="5">F58-E58</f>
        <v>-1224</v>
      </c>
      <c r="H58" s="141"/>
      <c r="I58" s="119">
        <v>46055</v>
      </c>
      <c r="J58" s="100" t="s">
        <v>56</v>
      </c>
      <c r="K58" s="164">
        <v>46056</v>
      </c>
      <c r="L58" s="100" t="s">
        <v>53</v>
      </c>
      <c r="M58" s="5">
        <v>2100</v>
      </c>
      <c r="N58" s="100" t="s">
        <v>49</v>
      </c>
      <c r="O58" s="106" t="s">
        <v>81</v>
      </c>
      <c r="P58" s="106" t="s">
        <v>87</v>
      </c>
      <c r="Q58" s="111">
        <v>46071</v>
      </c>
      <c r="R58" s="8"/>
      <c r="S58" s="5"/>
    </row>
    <row r="59" spans="1:19" x14ac:dyDescent="0.25">
      <c r="A59" s="4" t="s">
        <v>73</v>
      </c>
      <c r="B59" s="105"/>
      <c r="C59" s="104"/>
      <c r="D59" s="148"/>
      <c r="E59" s="5">
        <v>376</v>
      </c>
      <c r="F59" s="5">
        <f>G7</f>
        <v>224.91999999999996</v>
      </c>
      <c r="G59" s="26">
        <f t="shared" si="5"/>
        <v>-151.08000000000004</v>
      </c>
      <c r="H59" s="141"/>
      <c r="I59" s="139"/>
      <c r="J59" s="104"/>
      <c r="K59" s="165"/>
      <c r="L59" s="104"/>
      <c r="M59" s="5">
        <v>660</v>
      </c>
      <c r="N59" s="104"/>
      <c r="O59" s="135"/>
      <c r="P59" s="135"/>
      <c r="Q59" s="136"/>
      <c r="R59" s="5"/>
      <c r="S59" s="5"/>
    </row>
    <row r="60" spans="1:19" x14ac:dyDescent="0.25">
      <c r="A60" s="4" t="s">
        <v>59</v>
      </c>
      <c r="B60" s="99"/>
      <c r="C60" s="101"/>
      <c r="D60" s="103"/>
      <c r="E60" s="5">
        <v>76</v>
      </c>
      <c r="F60" s="5">
        <f>G41</f>
        <v>138.51999999999998</v>
      </c>
      <c r="G60" s="5">
        <f t="shared" si="5"/>
        <v>62.519999999999982</v>
      </c>
      <c r="H60" s="141"/>
      <c r="I60" s="140"/>
      <c r="J60" s="101"/>
      <c r="K60" s="166"/>
      <c r="L60" s="101"/>
      <c r="M60" s="5">
        <v>392</v>
      </c>
      <c r="N60" s="101"/>
      <c r="O60" s="107"/>
      <c r="P60" s="107"/>
      <c r="Q60" s="112"/>
      <c r="R60" s="5"/>
      <c r="S60" s="5"/>
    </row>
    <row r="61" spans="1:19" x14ac:dyDescent="0.25">
      <c r="A61" s="4" t="s">
        <v>47</v>
      </c>
      <c r="B61" s="98" t="s">
        <v>36</v>
      </c>
      <c r="C61" s="100" t="s">
        <v>41</v>
      </c>
      <c r="D61" s="146" t="s">
        <v>40</v>
      </c>
      <c r="E61" s="5">
        <v>788</v>
      </c>
      <c r="F61" s="5">
        <f>G42</f>
        <v>-537.24</v>
      </c>
      <c r="G61" s="26">
        <f t="shared" si="5"/>
        <v>-1325.24</v>
      </c>
      <c r="H61" s="141"/>
      <c r="I61" s="119">
        <v>46051</v>
      </c>
      <c r="J61" s="100" t="s">
        <v>56</v>
      </c>
      <c r="K61" s="119">
        <v>46056</v>
      </c>
      <c r="L61" s="100" t="s">
        <v>52</v>
      </c>
      <c r="M61" s="5">
        <v>2850</v>
      </c>
      <c r="N61" s="162" t="s">
        <v>95</v>
      </c>
      <c r="O61" s="106" t="s">
        <v>91</v>
      </c>
      <c r="P61" s="5" t="s">
        <v>54</v>
      </c>
      <c r="Q61" s="111">
        <v>46091</v>
      </c>
      <c r="R61" s="5"/>
      <c r="S61" s="5"/>
    </row>
    <row r="62" spans="1:19" x14ac:dyDescent="0.25">
      <c r="A62" s="4" t="s">
        <v>48</v>
      </c>
      <c r="B62" s="99"/>
      <c r="C62" s="101"/>
      <c r="D62" s="147"/>
      <c r="E62" s="5">
        <v>1182</v>
      </c>
      <c r="F62" s="5">
        <f>G43</f>
        <v>-880.86000000000013</v>
      </c>
      <c r="G62" s="26">
        <f t="shared" si="5"/>
        <v>-2062.86</v>
      </c>
      <c r="H62" s="141"/>
      <c r="I62" s="101"/>
      <c r="J62" s="101"/>
      <c r="K62" s="101"/>
      <c r="L62" s="101"/>
      <c r="M62" s="6">
        <v>3750</v>
      </c>
      <c r="N62" s="163"/>
      <c r="O62" s="107"/>
      <c r="P62" s="5" t="s">
        <v>54</v>
      </c>
      <c r="Q62" s="112"/>
      <c r="R62" s="5"/>
      <c r="S62" s="5"/>
    </row>
    <row r="63" spans="1:19" x14ac:dyDescent="0.25">
      <c r="A63" s="151" t="s">
        <v>106</v>
      </c>
      <c r="B63" s="98" t="s">
        <v>93</v>
      </c>
      <c r="C63" s="100" t="s">
        <v>88</v>
      </c>
      <c r="D63" s="102"/>
      <c r="E63" s="100">
        <f>E62+E61</f>
        <v>1970</v>
      </c>
      <c r="F63" s="26" t="s">
        <v>92</v>
      </c>
      <c r="G63" s="26" t="s">
        <v>92</v>
      </c>
      <c r="H63" s="141"/>
      <c r="I63" s="113">
        <v>46062</v>
      </c>
      <c r="J63" s="100" t="s">
        <v>56</v>
      </c>
      <c r="K63" s="119">
        <v>46064</v>
      </c>
      <c r="L63" s="117" t="s">
        <v>90</v>
      </c>
      <c r="M63" s="5">
        <v>2250</v>
      </c>
      <c r="N63" s="21" t="s">
        <v>49</v>
      </c>
      <c r="O63" s="106" t="s">
        <v>81</v>
      </c>
      <c r="P63" s="5" t="s">
        <v>54</v>
      </c>
      <c r="Q63" s="24">
        <v>46082</v>
      </c>
      <c r="R63" s="5"/>
      <c r="S63" s="5"/>
    </row>
    <row r="64" spans="1:19" x14ac:dyDescent="0.25">
      <c r="A64" s="152"/>
      <c r="B64" s="99"/>
      <c r="C64" s="101"/>
      <c r="D64" s="103"/>
      <c r="E64" s="101"/>
      <c r="F64" s="26" t="s">
        <v>92</v>
      </c>
      <c r="G64" s="26" t="s">
        <v>92</v>
      </c>
      <c r="H64" s="141"/>
      <c r="I64" s="114"/>
      <c r="J64" s="101"/>
      <c r="K64" s="101"/>
      <c r="L64" s="118"/>
      <c r="M64" s="6">
        <f>6300-M63</f>
        <v>4050</v>
      </c>
      <c r="N64" s="21" t="s">
        <v>89</v>
      </c>
      <c r="O64" s="107"/>
      <c r="P64" s="5" t="s">
        <v>54</v>
      </c>
      <c r="Q64" s="24">
        <v>46091</v>
      </c>
      <c r="R64" s="5"/>
      <c r="S64" s="5"/>
    </row>
    <row r="65" spans="1:19" x14ac:dyDescent="0.25">
      <c r="A65" s="4" t="s">
        <v>3</v>
      </c>
      <c r="B65" s="35" t="s">
        <v>68</v>
      </c>
      <c r="C65" s="5"/>
      <c r="D65" s="15"/>
      <c r="E65" s="5">
        <v>3.2</v>
      </c>
      <c r="F65" s="5">
        <f>G46</f>
        <v>25.960000000000004</v>
      </c>
      <c r="G65" s="5">
        <f t="shared" si="5"/>
        <v>22.760000000000005</v>
      </c>
      <c r="H65" s="141"/>
      <c r="I65" s="127" t="s">
        <v>60</v>
      </c>
      <c r="J65" s="128"/>
      <c r="K65" s="128"/>
      <c r="L65" s="128"/>
      <c r="M65" s="128"/>
      <c r="N65" s="128"/>
      <c r="O65" s="128"/>
      <c r="P65" s="128"/>
      <c r="Q65" s="129"/>
      <c r="R65" s="5"/>
      <c r="S65" s="5"/>
    </row>
    <row r="66" spans="1:19" x14ac:dyDescent="0.25">
      <c r="A66" s="4" t="s">
        <v>67</v>
      </c>
      <c r="B66" s="35" t="s">
        <v>5</v>
      </c>
      <c r="C66" s="5" t="s">
        <v>16</v>
      </c>
      <c r="D66" s="15" t="s">
        <v>6</v>
      </c>
      <c r="E66" s="5">
        <v>22</v>
      </c>
      <c r="F66" s="5">
        <f>G47</f>
        <v>58.3</v>
      </c>
      <c r="G66" s="5">
        <f t="shared" si="5"/>
        <v>36.299999999999997</v>
      </c>
      <c r="H66" s="141"/>
      <c r="I66" s="5"/>
      <c r="J66" s="5" t="s">
        <v>56</v>
      </c>
      <c r="K66" s="18">
        <v>46041</v>
      </c>
      <c r="L66" s="5" t="s">
        <v>79</v>
      </c>
      <c r="M66" s="5">
        <v>50</v>
      </c>
      <c r="N66" s="5" t="s">
        <v>49</v>
      </c>
      <c r="O66" s="5" t="s">
        <v>80</v>
      </c>
      <c r="P66" s="5" t="s">
        <v>50</v>
      </c>
      <c r="Q66" s="8">
        <v>46060</v>
      </c>
      <c r="R66" s="5"/>
      <c r="S66" s="5"/>
    </row>
    <row r="67" spans="1:19" x14ac:dyDescent="0.25">
      <c r="A67" s="4" t="s">
        <v>17</v>
      </c>
      <c r="B67" s="35" t="s">
        <v>37</v>
      </c>
      <c r="C67" s="5" t="s">
        <v>38</v>
      </c>
      <c r="D67" s="15" t="s">
        <v>39</v>
      </c>
      <c r="E67" s="5">
        <v>2050</v>
      </c>
      <c r="F67" s="5">
        <f>G48</f>
        <v>244</v>
      </c>
      <c r="G67" s="26">
        <f t="shared" si="5"/>
        <v>-1806</v>
      </c>
      <c r="H67" s="141"/>
      <c r="I67" s="8">
        <v>46055</v>
      </c>
      <c r="J67" s="5" t="s">
        <v>56</v>
      </c>
      <c r="K67" s="30" t="s">
        <v>98</v>
      </c>
      <c r="L67" s="5" t="s">
        <v>83</v>
      </c>
      <c r="M67" s="5">
        <v>3240</v>
      </c>
      <c r="N67" s="5" t="s">
        <v>49</v>
      </c>
      <c r="O67" s="5" t="s">
        <v>81</v>
      </c>
      <c r="P67" s="5" t="s">
        <v>82</v>
      </c>
      <c r="Q67" s="8">
        <v>46086</v>
      </c>
      <c r="R67" s="25">
        <v>46092</v>
      </c>
      <c r="S67" s="5"/>
    </row>
    <row r="68" spans="1:19" x14ac:dyDescent="0.25">
      <c r="A68" s="4" t="s">
        <v>30</v>
      </c>
      <c r="B68" s="35"/>
      <c r="C68" s="5"/>
      <c r="D68" s="14"/>
      <c r="E68" s="5">
        <v>50</v>
      </c>
      <c r="F68" s="5">
        <f>G49</f>
        <v>102.5</v>
      </c>
      <c r="G68" s="5">
        <f t="shared" si="5"/>
        <v>52.5</v>
      </c>
      <c r="H68" s="141"/>
      <c r="I68" s="127" t="s">
        <v>60</v>
      </c>
      <c r="J68" s="128"/>
      <c r="K68" s="128"/>
      <c r="L68" s="128"/>
      <c r="M68" s="128"/>
      <c r="N68" s="128"/>
      <c r="O68" s="128"/>
      <c r="P68" s="128"/>
      <c r="Q68" s="129"/>
      <c r="R68" s="5"/>
      <c r="S68" s="5"/>
    </row>
    <row r="69" spans="1:19" x14ac:dyDescent="0.25">
      <c r="A69" s="4" t="s">
        <v>61</v>
      </c>
      <c r="B69" s="35" t="s">
        <v>62</v>
      </c>
      <c r="C69" s="104"/>
      <c r="D69" s="14"/>
      <c r="E69" s="5">
        <v>2000</v>
      </c>
      <c r="F69" s="5">
        <f>G15</f>
        <v>5540</v>
      </c>
      <c r="G69" s="5">
        <f t="shared" si="5"/>
        <v>3540</v>
      </c>
      <c r="H69" s="141"/>
      <c r="I69" s="127" t="s">
        <v>60</v>
      </c>
      <c r="J69" s="128"/>
      <c r="K69" s="128"/>
      <c r="L69" s="128"/>
      <c r="M69" s="128"/>
      <c r="N69" s="128"/>
      <c r="O69" s="128"/>
      <c r="P69" s="128"/>
      <c r="Q69" s="129"/>
      <c r="R69" s="5"/>
      <c r="S69" s="5"/>
    </row>
    <row r="70" spans="1:19" x14ac:dyDescent="0.25">
      <c r="A70" s="4" t="s">
        <v>108</v>
      </c>
      <c r="B70" s="37" t="s">
        <v>111</v>
      </c>
      <c r="C70" s="101"/>
      <c r="D70" s="14"/>
      <c r="E70" s="5">
        <v>2000</v>
      </c>
      <c r="F70" s="5">
        <f>G16</f>
        <v>7080</v>
      </c>
      <c r="G70" s="5">
        <f t="shared" si="5"/>
        <v>5080</v>
      </c>
      <c r="H70" s="141"/>
      <c r="I70" s="18">
        <v>46034</v>
      </c>
      <c r="J70" s="5" t="s">
        <v>57</v>
      </c>
      <c r="K70" s="18">
        <v>46058</v>
      </c>
      <c r="L70" s="5" t="s">
        <v>107</v>
      </c>
      <c r="M70" s="5">
        <v>8000</v>
      </c>
      <c r="N70" s="5"/>
      <c r="O70" s="5"/>
      <c r="P70" s="5" t="s">
        <v>54</v>
      </c>
      <c r="Q70" s="5"/>
      <c r="R70" s="5"/>
      <c r="S70" s="5"/>
    </row>
    <row r="71" spans="1:19" x14ac:dyDescent="0.25">
      <c r="A71" s="4" t="s">
        <v>65</v>
      </c>
      <c r="B71" s="35" t="s">
        <v>66</v>
      </c>
      <c r="C71" s="5"/>
      <c r="D71" s="14"/>
      <c r="E71" s="5">
        <v>95</v>
      </c>
      <c r="F71" s="5">
        <f>G52</f>
        <v>106.48000000000002</v>
      </c>
      <c r="G71" s="5">
        <f t="shared" si="5"/>
        <v>11.480000000000018</v>
      </c>
      <c r="H71" s="141"/>
      <c r="I71" s="18">
        <v>45999</v>
      </c>
      <c r="J71" s="5" t="s">
        <v>71</v>
      </c>
      <c r="K71" s="30"/>
      <c r="L71" s="5" t="s">
        <v>69</v>
      </c>
      <c r="M71" s="5">
        <v>3000</v>
      </c>
      <c r="N71" s="5" t="s">
        <v>75</v>
      </c>
      <c r="O71" s="5" t="s">
        <v>75</v>
      </c>
      <c r="P71" s="5" t="s">
        <v>54</v>
      </c>
      <c r="Q71" s="5"/>
      <c r="R71" s="5"/>
      <c r="S71" s="5"/>
    </row>
    <row r="72" spans="1:19" x14ac:dyDescent="0.25">
      <c r="A72" s="4" t="s">
        <v>72</v>
      </c>
      <c r="B72" s="35" t="s">
        <v>43</v>
      </c>
      <c r="C72" s="5"/>
      <c r="D72" s="14"/>
      <c r="E72" s="5">
        <v>67</v>
      </c>
      <c r="F72" s="5">
        <v>0</v>
      </c>
      <c r="G72" s="5">
        <f t="shared" si="5"/>
        <v>-67</v>
      </c>
      <c r="H72" s="141"/>
      <c r="I72" s="18">
        <v>46045</v>
      </c>
      <c r="J72" s="5" t="s">
        <v>70</v>
      </c>
      <c r="K72" s="30" t="s">
        <v>97</v>
      </c>
      <c r="L72" s="5" t="s">
        <v>64</v>
      </c>
      <c r="M72" s="5"/>
      <c r="N72" s="5" t="s">
        <v>75</v>
      </c>
      <c r="O72" s="5" t="s">
        <v>75</v>
      </c>
      <c r="P72" s="5" t="s">
        <v>82</v>
      </c>
      <c r="Q72" s="5"/>
      <c r="R72" s="5"/>
      <c r="S72" s="5"/>
    </row>
    <row r="74" spans="1:19" x14ac:dyDescent="0.25">
      <c r="A74" s="1" t="s">
        <v>20</v>
      </c>
    </row>
    <row r="75" spans="1:19" s="11" customFormat="1" ht="30" x14ac:dyDescent="0.25">
      <c r="A75" s="9" t="s">
        <v>42</v>
      </c>
      <c r="B75" s="34" t="s">
        <v>2</v>
      </c>
      <c r="C75" s="9" t="s">
        <v>13</v>
      </c>
      <c r="D75" s="13" t="s">
        <v>14</v>
      </c>
      <c r="E75" s="9" t="s">
        <v>4</v>
      </c>
      <c r="F75" s="10" t="s">
        <v>94</v>
      </c>
      <c r="G75" s="10" t="s">
        <v>103</v>
      </c>
      <c r="H75" s="9" t="s">
        <v>34</v>
      </c>
      <c r="I75" s="9" t="s">
        <v>11</v>
      </c>
      <c r="J75" s="10" t="s">
        <v>58</v>
      </c>
      <c r="K75" s="10" t="s">
        <v>86</v>
      </c>
      <c r="L75" s="9" t="s">
        <v>8</v>
      </c>
      <c r="M75" s="9" t="s">
        <v>7</v>
      </c>
      <c r="N75" s="9" t="s">
        <v>31</v>
      </c>
      <c r="O75" s="9" t="s">
        <v>32</v>
      </c>
      <c r="P75" s="9" t="s">
        <v>29</v>
      </c>
      <c r="Q75" s="9" t="s">
        <v>33</v>
      </c>
      <c r="R75" s="9" t="s">
        <v>26</v>
      </c>
      <c r="S75" s="9" t="s">
        <v>27</v>
      </c>
    </row>
    <row r="76" spans="1:19" x14ac:dyDescent="0.25">
      <c r="A76" s="4" t="s">
        <v>0</v>
      </c>
      <c r="B76" s="35" t="s">
        <v>45</v>
      </c>
      <c r="C76" s="5"/>
      <c r="D76" s="14"/>
      <c r="E76" s="5">
        <v>15000</v>
      </c>
      <c r="F76" s="5">
        <f>G57</f>
        <v>58742</v>
      </c>
      <c r="G76" s="5">
        <f>F76-E76</f>
        <v>43742</v>
      </c>
      <c r="H76" s="119">
        <v>45979</v>
      </c>
      <c r="I76" s="127" t="s">
        <v>60</v>
      </c>
      <c r="J76" s="128"/>
      <c r="K76" s="128"/>
      <c r="L76" s="128"/>
      <c r="M76" s="128"/>
      <c r="N76" s="128"/>
      <c r="O76" s="128"/>
      <c r="P76" s="128"/>
      <c r="Q76" s="129"/>
      <c r="R76" s="5"/>
      <c r="S76" s="5"/>
    </row>
    <row r="77" spans="1:19" x14ac:dyDescent="0.25">
      <c r="A77" s="4" t="s">
        <v>105</v>
      </c>
      <c r="B77" s="98" t="s">
        <v>35</v>
      </c>
      <c r="C77" s="100" t="s">
        <v>12</v>
      </c>
      <c r="D77" s="102" t="s">
        <v>15</v>
      </c>
      <c r="E77" s="5">
        <v>1000</v>
      </c>
      <c r="F77" s="5">
        <f>G40</f>
        <v>560</v>
      </c>
      <c r="G77" s="5">
        <f t="shared" ref="G77:G80" si="6">F77-E77</f>
        <v>-440</v>
      </c>
      <c r="H77" s="139"/>
      <c r="I77" s="119">
        <v>46055</v>
      </c>
      <c r="J77" s="100" t="s">
        <v>56</v>
      </c>
      <c r="K77" s="164">
        <v>46056</v>
      </c>
      <c r="L77" s="100" t="s">
        <v>53</v>
      </c>
      <c r="M77" s="5">
        <v>2100</v>
      </c>
      <c r="N77" s="100" t="s">
        <v>49</v>
      </c>
      <c r="O77" s="106" t="s">
        <v>81</v>
      </c>
      <c r="P77" s="100" t="s">
        <v>55</v>
      </c>
      <c r="Q77" s="5"/>
      <c r="R77" s="5"/>
      <c r="S77" s="5"/>
    </row>
    <row r="78" spans="1:19" x14ac:dyDescent="0.25">
      <c r="A78" s="4" t="s">
        <v>59</v>
      </c>
      <c r="B78" s="99"/>
      <c r="C78" s="101"/>
      <c r="D78" s="103"/>
      <c r="E78" s="5">
        <v>118</v>
      </c>
      <c r="F78" s="5">
        <f>G60</f>
        <v>62.519999999999982</v>
      </c>
      <c r="G78" s="5">
        <f t="shared" si="6"/>
        <v>-55.480000000000018</v>
      </c>
      <c r="H78" s="139"/>
      <c r="I78" s="140"/>
      <c r="J78" s="101"/>
      <c r="K78" s="167"/>
      <c r="L78" s="101"/>
      <c r="M78" s="5">
        <v>392</v>
      </c>
      <c r="N78" s="101"/>
      <c r="O78" s="107"/>
      <c r="P78" s="101"/>
      <c r="Q78" s="5"/>
      <c r="R78" s="5"/>
      <c r="S78" s="5"/>
    </row>
    <row r="79" spans="1:19" x14ac:dyDescent="0.25">
      <c r="A79" s="4" t="s">
        <v>47</v>
      </c>
      <c r="B79" s="98" t="s">
        <v>36</v>
      </c>
      <c r="C79" s="100" t="s">
        <v>41</v>
      </c>
      <c r="D79" s="146" t="s">
        <v>40</v>
      </c>
      <c r="E79" s="5">
        <v>703</v>
      </c>
      <c r="F79" s="5">
        <f>G42</f>
        <v>-537.24</v>
      </c>
      <c r="G79" s="5">
        <f t="shared" si="6"/>
        <v>-1240.24</v>
      </c>
      <c r="H79" s="139"/>
      <c r="I79" s="119">
        <v>46051</v>
      </c>
      <c r="J79" s="100" t="s">
        <v>56</v>
      </c>
      <c r="K79" s="119">
        <v>46056</v>
      </c>
      <c r="L79" s="100" t="s">
        <v>52</v>
      </c>
      <c r="M79" s="5">
        <v>2850</v>
      </c>
      <c r="N79" s="162" t="s">
        <v>89</v>
      </c>
      <c r="O79" s="106" t="s">
        <v>91</v>
      </c>
      <c r="P79" s="5" t="s">
        <v>54</v>
      </c>
      <c r="Q79" s="111">
        <v>46091</v>
      </c>
      <c r="R79" s="8"/>
      <c r="S79" s="5"/>
    </row>
    <row r="80" spans="1:19" x14ac:dyDescent="0.25">
      <c r="A80" s="4" t="s">
        <v>48</v>
      </c>
      <c r="B80" s="99"/>
      <c r="C80" s="101"/>
      <c r="D80" s="147"/>
      <c r="E80" s="5">
        <v>1054.5</v>
      </c>
      <c r="F80" s="5">
        <f>G43</f>
        <v>-880.86000000000013</v>
      </c>
      <c r="G80" s="5">
        <f t="shared" si="6"/>
        <v>-1935.3600000000001</v>
      </c>
      <c r="H80" s="139"/>
      <c r="I80" s="101"/>
      <c r="J80" s="101"/>
      <c r="K80" s="101"/>
      <c r="L80" s="101"/>
      <c r="M80" s="6">
        <v>3750</v>
      </c>
      <c r="N80" s="163"/>
      <c r="O80" s="107"/>
      <c r="P80" s="5" t="s">
        <v>54</v>
      </c>
      <c r="Q80" s="112"/>
      <c r="R80" s="5"/>
      <c r="S80" s="5"/>
    </row>
    <row r="81" spans="1:19" x14ac:dyDescent="0.25">
      <c r="A81" s="151" t="s">
        <v>106</v>
      </c>
      <c r="B81" s="98" t="s">
        <v>93</v>
      </c>
      <c r="C81" s="100" t="s">
        <v>88</v>
      </c>
      <c r="D81" s="16"/>
      <c r="E81" s="100">
        <f>E80+E79</f>
        <v>1757.5</v>
      </c>
      <c r="F81" s="26" t="s">
        <v>92</v>
      </c>
      <c r="G81" s="26" t="s">
        <v>92</v>
      </c>
      <c r="H81" s="139"/>
      <c r="I81" s="113">
        <v>46062</v>
      </c>
      <c r="J81" s="100" t="s">
        <v>56</v>
      </c>
      <c r="K81" s="119">
        <v>46064</v>
      </c>
      <c r="L81" s="117" t="s">
        <v>90</v>
      </c>
      <c r="M81" s="21"/>
      <c r="N81" s="21" t="s">
        <v>49</v>
      </c>
      <c r="O81" s="106" t="s">
        <v>81</v>
      </c>
      <c r="P81" s="5" t="s">
        <v>54</v>
      </c>
      <c r="Q81" s="24">
        <v>46082</v>
      </c>
      <c r="R81" s="5"/>
      <c r="S81" s="5"/>
    </row>
    <row r="82" spans="1:19" x14ac:dyDescent="0.25">
      <c r="A82" s="152"/>
      <c r="B82" s="99"/>
      <c r="C82" s="101"/>
      <c r="D82" s="16"/>
      <c r="E82" s="101"/>
      <c r="F82" s="26" t="s">
        <v>92</v>
      </c>
      <c r="G82" s="26" t="s">
        <v>92</v>
      </c>
      <c r="H82" s="139"/>
      <c r="I82" s="114"/>
      <c r="J82" s="101"/>
      <c r="K82" s="101"/>
      <c r="L82" s="118"/>
      <c r="M82" s="21"/>
      <c r="N82" s="21" t="s">
        <v>89</v>
      </c>
      <c r="O82" s="107"/>
      <c r="P82" s="5" t="s">
        <v>54</v>
      </c>
      <c r="Q82" s="24">
        <v>46091</v>
      </c>
      <c r="R82" s="5"/>
      <c r="S82" s="5"/>
    </row>
    <row r="83" spans="1:19" x14ac:dyDescent="0.25">
      <c r="A83" s="4" t="s">
        <v>3</v>
      </c>
      <c r="B83" s="35" t="s">
        <v>68</v>
      </c>
      <c r="C83" s="5"/>
      <c r="D83" s="15"/>
      <c r="E83" s="5">
        <v>2</v>
      </c>
      <c r="F83" s="5">
        <f>G65</f>
        <v>22.760000000000005</v>
      </c>
      <c r="G83" s="5">
        <f>F83-E83</f>
        <v>20.760000000000005</v>
      </c>
      <c r="H83" s="139"/>
      <c r="I83" s="127" t="s">
        <v>60</v>
      </c>
      <c r="J83" s="128"/>
      <c r="K83" s="128"/>
      <c r="L83" s="128"/>
      <c r="M83" s="128"/>
      <c r="N83" s="128"/>
      <c r="O83" s="128"/>
      <c r="P83" s="128"/>
      <c r="Q83" s="129"/>
      <c r="R83" s="5"/>
      <c r="S83" s="5"/>
    </row>
    <row r="84" spans="1:19" x14ac:dyDescent="0.25">
      <c r="A84" s="4" t="s">
        <v>67</v>
      </c>
      <c r="B84" s="35" t="s">
        <v>5</v>
      </c>
      <c r="C84" s="5" t="s">
        <v>16</v>
      </c>
      <c r="D84" s="15" t="s">
        <v>6</v>
      </c>
      <c r="E84" s="5">
        <v>25</v>
      </c>
      <c r="F84" s="5">
        <f>G66</f>
        <v>36.299999999999997</v>
      </c>
      <c r="G84" s="5">
        <f t="shared" ref="G84:G90" si="7">F84-E84</f>
        <v>11.299999999999997</v>
      </c>
      <c r="H84" s="139"/>
      <c r="I84" s="5"/>
      <c r="J84" s="5" t="s">
        <v>56</v>
      </c>
      <c r="K84" s="18">
        <v>46041</v>
      </c>
      <c r="L84" s="5" t="s">
        <v>79</v>
      </c>
      <c r="M84" s="5">
        <v>50</v>
      </c>
      <c r="N84" s="5" t="s">
        <v>49</v>
      </c>
      <c r="O84" s="5" t="s">
        <v>80</v>
      </c>
      <c r="P84" s="5" t="s">
        <v>50</v>
      </c>
      <c r="Q84" s="8">
        <v>46060</v>
      </c>
      <c r="R84" s="5"/>
      <c r="S84" s="5"/>
    </row>
    <row r="85" spans="1:19" x14ac:dyDescent="0.25">
      <c r="A85" s="4" t="s">
        <v>17</v>
      </c>
      <c r="B85" s="35" t="s">
        <v>37</v>
      </c>
      <c r="C85" s="5" t="s">
        <v>38</v>
      </c>
      <c r="D85" s="15" t="s">
        <v>39</v>
      </c>
      <c r="E85" s="5">
        <v>1025</v>
      </c>
      <c r="F85" s="5">
        <f>G67</f>
        <v>-1806</v>
      </c>
      <c r="G85" s="5">
        <f t="shared" si="7"/>
        <v>-2831</v>
      </c>
      <c r="H85" s="139"/>
      <c r="I85" s="8">
        <v>46055</v>
      </c>
      <c r="J85" s="5" t="s">
        <v>56</v>
      </c>
      <c r="K85" s="30" t="s">
        <v>98</v>
      </c>
      <c r="L85" s="5" t="s">
        <v>83</v>
      </c>
      <c r="M85" s="5">
        <v>3240</v>
      </c>
      <c r="N85" s="26" t="s">
        <v>89</v>
      </c>
      <c r="O85" s="5" t="s">
        <v>91</v>
      </c>
      <c r="P85" s="5" t="s">
        <v>82</v>
      </c>
      <c r="Q85" s="8">
        <v>46096</v>
      </c>
      <c r="R85" s="25">
        <v>46097</v>
      </c>
      <c r="S85" s="5"/>
    </row>
    <row r="86" spans="1:19" x14ac:dyDescent="0.25">
      <c r="A86" s="4" t="s">
        <v>30</v>
      </c>
      <c r="B86" s="35"/>
      <c r="C86" s="5"/>
      <c r="D86" s="14"/>
      <c r="E86" s="5">
        <v>25</v>
      </c>
      <c r="F86" s="5">
        <f>G68</f>
        <v>52.5</v>
      </c>
      <c r="G86" s="5">
        <f t="shared" si="7"/>
        <v>27.5</v>
      </c>
      <c r="H86" s="139"/>
      <c r="I86" s="127" t="s">
        <v>60</v>
      </c>
      <c r="J86" s="128"/>
      <c r="K86" s="128"/>
      <c r="L86" s="128"/>
      <c r="M86" s="128"/>
      <c r="N86" s="128"/>
      <c r="O86" s="128"/>
      <c r="P86" s="128"/>
      <c r="Q86" s="129"/>
      <c r="R86" s="5"/>
      <c r="S86" s="5"/>
    </row>
    <row r="87" spans="1:19" x14ac:dyDescent="0.25">
      <c r="A87" s="4" t="s">
        <v>110</v>
      </c>
      <c r="B87" s="98" t="s">
        <v>111</v>
      </c>
      <c r="C87" s="100" t="s">
        <v>63</v>
      </c>
      <c r="D87" s="14"/>
      <c r="E87" s="5">
        <v>1000</v>
      </c>
      <c r="F87" s="5">
        <f>G50</f>
        <v>280</v>
      </c>
      <c r="G87" s="5">
        <f t="shared" si="7"/>
        <v>-720</v>
      </c>
      <c r="H87" s="139"/>
      <c r="I87" s="119">
        <v>46034</v>
      </c>
      <c r="J87" s="5" t="s">
        <v>57</v>
      </c>
      <c r="K87" s="119">
        <v>46058</v>
      </c>
      <c r="L87" s="5" t="s">
        <v>107</v>
      </c>
      <c r="M87" s="5"/>
      <c r="N87" s="5"/>
      <c r="O87" s="5"/>
      <c r="P87" s="5"/>
      <c r="Q87" s="5"/>
      <c r="R87" s="5"/>
      <c r="S87" s="5"/>
    </row>
    <row r="88" spans="1:19" x14ac:dyDescent="0.25">
      <c r="A88" s="4" t="s">
        <v>109</v>
      </c>
      <c r="B88" s="99"/>
      <c r="C88" s="101"/>
      <c r="D88" s="14"/>
      <c r="E88" s="5">
        <v>1000</v>
      </c>
      <c r="F88" s="5">
        <f>G51</f>
        <v>280</v>
      </c>
      <c r="G88" s="5">
        <f t="shared" si="7"/>
        <v>-720</v>
      </c>
      <c r="H88" s="139"/>
      <c r="I88" s="101"/>
      <c r="J88" s="5" t="s">
        <v>57</v>
      </c>
      <c r="K88" s="101"/>
      <c r="L88" s="5" t="s">
        <v>107</v>
      </c>
      <c r="M88" s="5"/>
      <c r="N88" s="5"/>
      <c r="O88" s="5"/>
      <c r="P88" s="5" t="s">
        <v>54</v>
      </c>
      <c r="Q88" s="5"/>
      <c r="R88" s="5"/>
      <c r="S88" s="5"/>
    </row>
    <row r="89" spans="1:19" x14ac:dyDescent="0.25">
      <c r="A89" s="4" t="s">
        <v>65</v>
      </c>
      <c r="B89" s="35" t="s">
        <v>66</v>
      </c>
      <c r="C89" s="5"/>
      <c r="D89" s="14"/>
      <c r="E89" s="5">
        <v>95</v>
      </c>
      <c r="F89" s="5">
        <f>G52</f>
        <v>106.48000000000002</v>
      </c>
      <c r="G89" s="5">
        <f t="shared" si="7"/>
        <v>11.480000000000018</v>
      </c>
      <c r="H89" s="139"/>
      <c r="I89" s="18">
        <v>45999</v>
      </c>
      <c r="J89" s="5" t="s">
        <v>71</v>
      </c>
      <c r="K89" s="30"/>
      <c r="L89" s="5" t="s">
        <v>69</v>
      </c>
      <c r="M89" s="5">
        <v>3000</v>
      </c>
      <c r="N89" s="5" t="s">
        <v>75</v>
      </c>
      <c r="O89" s="5" t="s">
        <v>75</v>
      </c>
      <c r="P89" s="5" t="s">
        <v>54</v>
      </c>
      <c r="Q89" s="5"/>
      <c r="R89" s="5"/>
      <c r="S89" s="5"/>
    </row>
    <row r="90" spans="1:19" x14ac:dyDescent="0.25">
      <c r="A90" s="4" t="s">
        <v>72</v>
      </c>
      <c r="B90" s="35" t="s">
        <v>43</v>
      </c>
      <c r="C90" s="5"/>
      <c r="D90" s="14"/>
      <c r="E90" s="5">
        <v>34</v>
      </c>
      <c r="F90" s="5">
        <v>0</v>
      </c>
      <c r="G90" s="5">
        <f t="shared" si="7"/>
        <v>-34</v>
      </c>
      <c r="H90" s="140"/>
      <c r="I90" s="18">
        <v>46045</v>
      </c>
      <c r="J90" s="5" t="s">
        <v>70</v>
      </c>
      <c r="K90" s="30" t="s">
        <v>97</v>
      </c>
      <c r="L90" s="5" t="s">
        <v>64</v>
      </c>
      <c r="M90" s="5"/>
      <c r="N90" s="5" t="s">
        <v>75</v>
      </c>
      <c r="O90" s="5" t="s">
        <v>75</v>
      </c>
      <c r="P90" s="5" t="s">
        <v>82</v>
      </c>
      <c r="Q90" s="5"/>
      <c r="R90" s="5"/>
      <c r="S90" s="5"/>
    </row>
    <row r="92" spans="1:19" x14ac:dyDescent="0.25">
      <c r="A92" s="1" t="s">
        <v>76</v>
      </c>
      <c r="B92" s="33" t="s">
        <v>78</v>
      </c>
    </row>
    <row r="93" spans="1:19" s="11" customFormat="1" ht="30" x14ac:dyDescent="0.25">
      <c r="A93" s="9" t="s">
        <v>42</v>
      </c>
      <c r="B93" s="34" t="s">
        <v>2</v>
      </c>
      <c r="C93" s="9" t="s">
        <v>13</v>
      </c>
      <c r="D93" s="13" t="s">
        <v>14</v>
      </c>
      <c r="E93" s="9" t="s">
        <v>4</v>
      </c>
      <c r="F93" s="10" t="s">
        <v>94</v>
      </c>
      <c r="G93" s="10" t="s">
        <v>103</v>
      </c>
      <c r="H93" s="9" t="s">
        <v>34</v>
      </c>
      <c r="I93" s="9" t="s">
        <v>11</v>
      </c>
      <c r="J93" s="10" t="s">
        <v>58</v>
      </c>
      <c r="K93" s="10" t="s">
        <v>86</v>
      </c>
      <c r="L93" s="9" t="s">
        <v>8</v>
      </c>
      <c r="M93" s="9" t="s">
        <v>7</v>
      </c>
      <c r="N93" s="9" t="s">
        <v>31</v>
      </c>
      <c r="O93" s="9" t="s">
        <v>32</v>
      </c>
      <c r="P93" s="9" t="s">
        <v>29</v>
      </c>
      <c r="Q93" s="9" t="s">
        <v>33</v>
      </c>
      <c r="R93" s="9" t="s">
        <v>26</v>
      </c>
      <c r="S93" s="9" t="s">
        <v>27</v>
      </c>
    </row>
    <row r="94" spans="1:19" x14ac:dyDescent="0.25">
      <c r="A94" s="4" t="s">
        <v>0</v>
      </c>
      <c r="B94" s="35" t="s">
        <v>45</v>
      </c>
      <c r="C94" s="5"/>
      <c r="D94" s="14"/>
      <c r="E94" s="5">
        <v>21334</v>
      </c>
      <c r="F94" s="5">
        <f>G76</f>
        <v>43742</v>
      </c>
      <c r="G94" s="5">
        <f>F94-E94</f>
        <v>22408</v>
      </c>
      <c r="H94" s="141"/>
      <c r="I94" s="127" t="s">
        <v>60</v>
      </c>
      <c r="J94" s="128"/>
      <c r="K94" s="128"/>
      <c r="L94" s="128"/>
      <c r="M94" s="128"/>
      <c r="N94" s="128"/>
      <c r="O94" s="128"/>
      <c r="P94" s="128"/>
      <c r="Q94" s="129"/>
      <c r="R94" s="5"/>
      <c r="S94" s="5"/>
    </row>
    <row r="95" spans="1:19" ht="15" customHeight="1" x14ac:dyDescent="0.25">
      <c r="A95" s="4" t="s">
        <v>104</v>
      </c>
      <c r="B95" s="98" t="s">
        <v>35</v>
      </c>
      <c r="C95" s="100" t="s">
        <v>12</v>
      </c>
      <c r="D95" s="102" t="s">
        <v>15</v>
      </c>
      <c r="E95" s="5">
        <v>2000</v>
      </c>
      <c r="F95" s="5">
        <f>G58</f>
        <v>-1224</v>
      </c>
      <c r="G95" s="5">
        <f t="shared" ref="G95:G99" si="8">F95-E95</f>
        <v>-3224</v>
      </c>
      <c r="H95" s="141"/>
      <c r="I95" s="119">
        <v>46055</v>
      </c>
      <c r="J95" s="100" t="s">
        <v>56</v>
      </c>
      <c r="K95" s="164">
        <v>46056</v>
      </c>
      <c r="L95" s="100" t="s">
        <v>53</v>
      </c>
      <c r="M95" s="5">
        <v>2100</v>
      </c>
      <c r="N95" s="100" t="s">
        <v>49</v>
      </c>
      <c r="O95" s="106" t="s">
        <v>81</v>
      </c>
      <c r="P95" s="106" t="s">
        <v>87</v>
      </c>
      <c r="Q95" s="111">
        <v>46071</v>
      </c>
      <c r="R95" s="8"/>
      <c r="S95" s="5"/>
    </row>
    <row r="96" spans="1:19" x14ac:dyDescent="0.25">
      <c r="A96" s="4" t="s">
        <v>73</v>
      </c>
      <c r="B96" s="105"/>
      <c r="C96" s="104"/>
      <c r="D96" s="148"/>
      <c r="E96" s="5">
        <v>86.48</v>
      </c>
      <c r="F96" s="5">
        <f>G59</f>
        <v>-151.08000000000004</v>
      </c>
      <c r="G96" s="5">
        <f t="shared" si="8"/>
        <v>-237.56000000000006</v>
      </c>
      <c r="H96" s="141"/>
      <c r="I96" s="139"/>
      <c r="J96" s="104"/>
      <c r="K96" s="165"/>
      <c r="L96" s="104"/>
      <c r="M96" s="5">
        <v>660</v>
      </c>
      <c r="N96" s="104"/>
      <c r="O96" s="135"/>
      <c r="P96" s="135"/>
      <c r="Q96" s="136"/>
      <c r="R96" s="5"/>
      <c r="S96" s="5"/>
    </row>
    <row r="97" spans="1:19" x14ac:dyDescent="0.25">
      <c r="A97" s="4" t="s">
        <v>59</v>
      </c>
      <c r="B97" s="99"/>
      <c r="C97" s="101"/>
      <c r="D97" s="103"/>
      <c r="E97" s="5">
        <v>76</v>
      </c>
      <c r="F97" s="5">
        <f>G78</f>
        <v>-55.480000000000018</v>
      </c>
      <c r="G97" s="5">
        <f t="shared" si="8"/>
        <v>-131.48000000000002</v>
      </c>
      <c r="H97" s="141"/>
      <c r="I97" s="140"/>
      <c r="J97" s="101"/>
      <c r="K97" s="166"/>
      <c r="L97" s="101"/>
      <c r="M97" s="5">
        <v>392</v>
      </c>
      <c r="N97" s="101"/>
      <c r="O97" s="107"/>
      <c r="P97" s="107"/>
      <c r="Q97" s="112"/>
      <c r="R97" s="5"/>
      <c r="S97" s="5"/>
    </row>
    <row r="98" spans="1:19" x14ac:dyDescent="0.25">
      <c r="A98" s="4" t="s">
        <v>47</v>
      </c>
      <c r="B98" s="98" t="s">
        <v>36</v>
      </c>
      <c r="C98" s="100" t="s">
        <v>41</v>
      </c>
      <c r="D98" s="146" t="s">
        <v>40</v>
      </c>
      <c r="E98" s="5">
        <v>788</v>
      </c>
      <c r="F98" s="5">
        <f>G79</f>
        <v>-1240.24</v>
      </c>
      <c r="G98" s="5">
        <f t="shared" si="8"/>
        <v>-2028.24</v>
      </c>
      <c r="H98" s="141"/>
      <c r="I98" s="119">
        <v>46051</v>
      </c>
      <c r="J98" s="100" t="s">
        <v>56</v>
      </c>
      <c r="K98" s="119">
        <v>46056</v>
      </c>
      <c r="L98" s="100" t="s">
        <v>52</v>
      </c>
      <c r="M98" s="5">
        <v>2850</v>
      </c>
      <c r="N98" s="162" t="s">
        <v>95</v>
      </c>
      <c r="O98" s="106" t="s">
        <v>91</v>
      </c>
      <c r="P98" s="5" t="s">
        <v>54</v>
      </c>
      <c r="Q98" s="111">
        <v>46091</v>
      </c>
      <c r="R98" s="5"/>
      <c r="S98" s="5"/>
    </row>
    <row r="99" spans="1:19" x14ac:dyDescent="0.25">
      <c r="A99" s="4" t="s">
        <v>48</v>
      </c>
      <c r="B99" s="99"/>
      <c r="C99" s="101"/>
      <c r="D99" s="147"/>
      <c r="E99" s="5">
        <v>1182</v>
      </c>
      <c r="F99" s="5">
        <f>G80</f>
        <v>-1935.3600000000001</v>
      </c>
      <c r="G99" s="5">
        <f t="shared" si="8"/>
        <v>-3117.36</v>
      </c>
      <c r="H99" s="141"/>
      <c r="I99" s="101"/>
      <c r="J99" s="101"/>
      <c r="K99" s="101"/>
      <c r="L99" s="101"/>
      <c r="M99" s="6">
        <v>3750</v>
      </c>
      <c r="N99" s="163"/>
      <c r="O99" s="107"/>
      <c r="P99" s="5" t="s">
        <v>54</v>
      </c>
      <c r="Q99" s="112"/>
      <c r="R99" s="5"/>
      <c r="S99" s="5"/>
    </row>
    <row r="100" spans="1:19" x14ac:dyDescent="0.25">
      <c r="A100" s="151" t="s">
        <v>106</v>
      </c>
      <c r="B100" s="98" t="s">
        <v>93</v>
      </c>
      <c r="C100" s="100" t="s">
        <v>88</v>
      </c>
      <c r="D100" s="16"/>
      <c r="E100" s="100">
        <f>E99+E98</f>
        <v>1970</v>
      </c>
      <c r="F100" s="26" t="s">
        <v>92</v>
      </c>
      <c r="G100" s="26" t="s">
        <v>92</v>
      </c>
      <c r="H100" s="141"/>
      <c r="I100" s="113">
        <v>46062</v>
      </c>
      <c r="J100" s="100"/>
      <c r="K100" s="119">
        <v>46064</v>
      </c>
      <c r="L100" s="117" t="s">
        <v>90</v>
      </c>
      <c r="M100" s="21"/>
      <c r="N100" s="21" t="s">
        <v>49</v>
      </c>
      <c r="O100" s="106" t="s">
        <v>81</v>
      </c>
      <c r="P100" s="5" t="s">
        <v>54</v>
      </c>
      <c r="Q100" s="24">
        <v>46082</v>
      </c>
      <c r="R100" s="5"/>
      <c r="S100" s="5"/>
    </row>
    <row r="101" spans="1:19" x14ac:dyDescent="0.25">
      <c r="A101" s="152"/>
      <c r="B101" s="99"/>
      <c r="C101" s="101"/>
      <c r="D101" s="16"/>
      <c r="E101" s="101"/>
      <c r="F101" s="26" t="s">
        <v>92</v>
      </c>
      <c r="G101" s="26" t="s">
        <v>92</v>
      </c>
      <c r="H101" s="141"/>
      <c r="I101" s="114"/>
      <c r="J101" s="101"/>
      <c r="K101" s="101"/>
      <c r="L101" s="118"/>
      <c r="M101" s="21"/>
      <c r="N101" s="21" t="s">
        <v>89</v>
      </c>
      <c r="O101" s="107"/>
      <c r="P101" s="5" t="s">
        <v>54</v>
      </c>
      <c r="Q101" s="24">
        <v>46091</v>
      </c>
      <c r="R101" s="5"/>
      <c r="S101" s="5"/>
    </row>
    <row r="102" spans="1:19" x14ac:dyDescent="0.25">
      <c r="A102" s="4" t="s">
        <v>3</v>
      </c>
      <c r="B102" s="35" t="s">
        <v>68</v>
      </c>
      <c r="C102" s="5"/>
      <c r="D102" s="15"/>
      <c r="E102" s="5">
        <v>3.2</v>
      </c>
      <c r="F102" s="5">
        <f>G83</f>
        <v>20.760000000000005</v>
      </c>
      <c r="G102" s="5">
        <f>F102-E102</f>
        <v>17.560000000000006</v>
      </c>
      <c r="H102" s="141"/>
      <c r="I102" s="127" t="s">
        <v>60</v>
      </c>
      <c r="J102" s="128"/>
      <c r="K102" s="128"/>
      <c r="L102" s="128"/>
      <c r="M102" s="128"/>
      <c r="N102" s="128"/>
      <c r="O102" s="128"/>
      <c r="P102" s="128"/>
      <c r="Q102" s="129"/>
      <c r="R102" s="5"/>
      <c r="S102" s="5"/>
    </row>
    <row r="103" spans="1:19" x14ac:dyDescent="0.25">
      <c r="A103" s="4" t="s">
        <v>67</v>
      </c>
      <c r="B103" s="35" t="s">
        <v>5</v>
      </c>
      <c r="C103" s="5" t="s">
        <v>16</v>
      </c>
      <c r="D103" s="15" t="s">
        <v>6</v>
      </c>
      <c r="E103" s="5">
        <v>22</v>
      </c>
      <c r="F103" s="5">
        <f>G84</f>
        <v>11.299999999999997</v>
      </c>
      <c r="G103" s="5">
        <f t="shared" ref="G103:G109" si="9">F103-E103</f>
        <v>-10.700000000000003</v>
      </c>
      <c r="H103" s="141"/>
      <c r="I103" s="5"/>
      <c r="J103" s="5" t="s">
        <v>56</v>
      </c>
      <c r="K103" s="18">
        <v>46041</v>
      </c>
      <c r="L103" s="5" t="s">
        <v>79</v>
      </c>
      <c r="M103" s="5">
        <v>50</v>
      </c>
      <c r="N103" s="5" t="s">
        <v>49</v>
      </c>
      <c r="O103" s="5" t="s">
        <v>80</v>
      </c>
      <c r="P103" s="5" t="s">
        <v>50</v>
      </c>
      <c r="Q103" s="8">
        <v>46060</v>
      </c>
      <c r="R103" s="5"/>
      <c r="S103" s="5"/>
    </row>
    <row r="104" spans="1:19" x14ac:dyDescent="0.25">
      <c r="A104" s="4" t="s">
        <v>17</v>
      </c>
      <c r="B104" s="35" t="s">
        <v>37</v>
      </c>
      <c r="C104" s="5" t="s">
        <v>38</v>
      </c>
      <c r="D104" s="15" t="s">
        <v>39</v>
      </c>
      <c r="E104" s="5">
        <v>2050</v>
      </c>
      <c r="F104" s="5">
        <f>G85</f>
        <v>-2831</v>
      </c>
      <c r="G104" s="5">
        <f t="shared" si="9"/>
        <v>-4881</v>
      </c>
      <c r="H104" s="141"/>
      <c r="I104" s="8">
        <v>46055</v>
      </c>
      <c r="J104" s="5" t="s">
        <v>56</v>
      </c>
      <c r="K104" s="30" t="s">
        <v>98</v>
      </c>
      <c r="L104" s="5" t="s">
        <v>83</v>
      </c>
      <c r="M104" s="5">
        <v>3240</v>
      </c>
      <c r="N104" s="5" t="s">
        <v>49</v>
      </c>
      <c r="O104" s="5" t="s">
        <v>81</v>
      </c>
      <c r="P104" s="5" t="s">
        <v>82</v>
      </c>
      <c r="Q104" s="8">
        <v>46086</v>
      </c>
      <c r="R104" s="25">
        <v>46092</v>
      </c>
      <c r="S104" s="5"/>
    </row>
    <row r="105" spans="1:19" x14ac:dyDescent="0.25">
      <c r="A105" s="4" t="s">
        <v>30</v>
      </c>
      <c r="B105" s="35"/>
      <c r="C105" s="5"/>
      <c r="D105" s="14"/>
      <c r="E105" s="5">
        <v>50</v>
      </c>
      <c r="F105" s="5">
        <f>G86</f>
        <v>27.5</v>
      </c>
      <c r="G105" s="5">
        <f t="shared" si="9"/>
        <v>-22.5</v>
      </c>
      <c r="H105" s="141"/>
      <c r="I105" s="127" t="s">
        <v>60</v>
      </c>
      <c r="J105" s="128"/>
      <c r="K105" s="128"/>
      <c r="L105" s="128"/>
      <c r="M105" s="128"/>
      <c r="N105" s="128"/>
      <c r="O105" s="128"/>
      <c r="P105" s="128"/>
      <c r="Q105" s="129"/>
      <c r="R105" s="5"/>
      <c r="S105" s="5"/>
    </row>
    <row r="106" spans="1:19" x14ac:dyDescent="0.25">
      <c r="A106" s="4" t="s">
        <v>61</v>
      </c>
      <c r="B106" s="35" t="s">
        <v>62</v>
      </c>
      <c r="C106" s="104"/>
      <c r="D106" s="14"/>
      <c r="E106" s="5">
        <v>2000</v>
      </c>
      <c r="F106" s="5">
        <f>G69</f>
        <v>3540</v>
      </c>
      <c r="G106" s="5">
        <f t="shared" si="9"/>
        <v>1540</v>
      </c>
      <c r="H106" s="141"/>
      <c r="I106" s="127" t="s">
        <v>60</v>
      </c>
      <c r="J106" s="128"/>
      <c r="K106" s="128"/>
      <c r="L106" s="128"/>
      <c r="M106" s="128"/>
      <c r="N106" s="128"/>
      <c r="O106" s="128"/>
      <c r="P106" s="128"/>
      <c r="Q106" s="129"/>
      <c r="R106" s="5"/>
      <c r="S106" s="5"/>
    </row>
    <row r="107" spans="1:19" x14ac:dyDescent="0.25">
      <c r="A107" s="4" t="s">
        <v>108</v>
      </c>
      <c r="B107" s="37" t="s">
        <v>111</v>
      </c>
      <c r="C107" s="101"/>
      <c r="D107" s="14"/>
      <c r="E107" s="5">
        <v>2000</v>
      </c>
      <c r="F107" s="5">
        <f>G70</f>
        <v>5080</v>
      </c>
      <c r="G107" s="5">
        <f t="shared" si="9"/>
        <v>3080</v>
      </c>
      <c r="H107" s="141"/>
      <c r="I107" s="18">
        <v>46034</v>
      </c>
      <c r="J107" s="5" t="s">
        <v>57</v>
      </c>
      <c r="K107" s="18">
        <v>46058</v>
      </c>
      <c r="L107" s="5" t="s">
        <v>46</v>
      </c>
      <c r="M107" s="5"/>
      <c r="N107" s="5"/>
      <c r="O107" s="5"/>
      <c r="P107" s="5"/>
      <c r="Q107" s="5"/>
      <c r="R107" s="5"/>
      <c r="S107" s="5"/>
    </row>
    <row r="108" spans="1:19" x14ac:dyDescent="0.25">
      <c r="A108" s="4" t="s">
        <v>65</v>
      </c>
      <c r="B108" s="35" t="s">
        <v>66</v>
      </c>
      <c r="C108" s="5"/>
      <c r="D108" s="14"/>
      <c r="E108" s="5">
        <v>95</v>
      </c>
      <c r="F108" s="5">
        <f>G89</f>
        <v>11.480000000000018</v>
      </c>
      <c r="G108" s="5">
        <f t="shared" si="9"/>
        <v>-83.519999999999982</v>
      </c>
      <c r="H108" s="141"/>
      <c r="I108" s="18">
        <v>45999</v>
      </c>
      <c r="J108" s="5" t="s">
        <v>71</v>
      </c>
      <c r="K108" s="30" t="s">
        <v>97</v>
      </c>
      <c r="L108" s="5" t="s">
        <v>69</v>
      </c>
      <c r="M108" s="5"/>
      <c r="N108" s="5" t="s">
        <v>75</v>
      </c>
      <c r="O108" s="5" t="s">
        <v>75</v>
      </c>
      <c r="P108" s="5"/>
      <c r="Q108" s="5"/>
      <c r="R108" s="5"/>
      <c r="S108" s="5"/>
    </row>
    <row r="109" spans="1:19" x14ac:dyDescent="0.25">
      <c r="A109" s="4" t="s">
        <v>72</v>
      </c>
      <c r="B109" s="35" t="s">
        <v>43</v>
      </c>
      <c r="C109" s="5"/>
      <c r="D109" s="14"/>
      <c r="E109" s="5">
        <v>67</v>
      </c>
      <c r="F109" s="5">
        <v>0</v>
      </c>
      <c r="G109" s="5">
        <f t="shared" si="9"/>
        <v>-67</v>
      </c>
      <c r="H109" s="141"/>
      <c r="I109" s="18">
        <v>46045</v>
      </c>
      <c r="J109" s="5" t="s">
        <v>70</v>
      </c>
      <c r="K109" s="30" t="s">
        <v>97</v>
      </c>
      <c r="L109" s="5" t="s">
        <v>64</v>
      </c>
      <c r="M109" s="5"/>
      <c r="N109" s="5" t="s">
        <v>75</v>
      </c>
      <c r="O109" s="5" t="s">
        <v>75</v>
      </c>
      <c r="P109" s="5"/>
      <c r="Q109" s="5"/>
      <c r="R109" s="5"/>
      <c r="S109" s="5"/>
    </row>
    <row r="110" spans="1:19" x14ac:dyDescent="0.25">
      <c r="A110" s="4"/>
      <c r="H110" s="19"/>
    </row>
    <row r="111" spans="1:19" x14ac:dyDescent="0.25">
      <c r="A111" s="1" t="s">
        <v>21</v>
      </c>
    </row>
    <row r="112" spans="1:19" s="11" customFormat="1" ht="30" x14ac:dyDescent="0.25">
      <c r="A112" s="9" t="s">
        <v>42</v>
      </c>
      <c r="B112" s="34" t="s">
        <v>2</v>
      </c>
      <c r="C112" s="9" t="s">
        <v>13</v>
      </c>
      <c r="D112" s="13" t="s">
        <v>14</v>
      </c>
      <c r="E112" s="9" t="s">
        <v>4</v>
      </c>
      <c r="F112" s="10" t="s">
        <v>94</v>
      </c>
      <c r="G112" s="10" t="s">
        <v>103</v>
      </c>
      <c r="H112" s="9" t="s">
        <v>34</v>
      </c>
      <c r="I112" s="9" t="s">
        <v>11</v>
      </c>
      <c r="J112" s="10" t="s">
        <v>58</v>
      </c>
      <c r="K112" s="10" t="s">
        <v>86</v>
      </c>
      <c r="L112" s="9" t="s">
        <v>8</v>
      </c>
      <c r="M112" s="9" t="s">
        <v>7</v>
      </c>
      <c r="N112" s="9" t="s">
        <v>31</v>
      </c>
      <c r="O112" s="9" t="s">
        <v>32</v>
      </c>
      <c r="P112" s="9" t="s">
        <v>29</v>
      </c>
      <c r="Q112" s="9" t="s">
        <v>33</v>
      </c>
      <c r="R112" s="9" t="s">
        <v>26</v>
      </c>
      <c r="S112" s="9" t="s">
        <v>27</v>
      </c>
    </row>
    <row r="113" spans="1:19" x14ac:dyDescent="0.25">
      <c r="A113" s="4" t="s">
        <v>0</v>
      </c>
      <c r="B113" s="35" t="s">
        <v>45</v>
      </c>
      <c r="C113" s="5"/>
      <c r="D113" s="14"/>
      <c r="E113" s="5">
        <v>48000</v>
      </c>
      <c r="F113" s="5">
        <f>G94</f>
        <v>22408</v>
      </c>
      <c r="G113" s="5">
        <f>F113-E113</f>
        <v>-25592</v>
      </c>
      <c r="H113" s="119"/>
      <c r="I113" s="28"/>
      <c r="J113" s="5"/>
      <c r="K113" s="28"/>
      <c r="L113" s="5"/>
      <c r="M113" s="5"/>
      <c r="N113" s="5"/>
      <c r="O113" s="5"/>
      <c r="P113" s="5"/>
      <c r="Q113" s="5"/>
      <c r="R113" s="5"/>
      <c r="S113" s="5"/>
    </row>
    <row r="114" spans="1:19" x14ac:dyDescent="0.25">
      <c r="A114" s="4" t="s">
        <v>1</v>
      </c>
      <c r="B114" s="98" t="s">
        <v>35</v>
      </c>
      <c r="C114" s="100" t="s">
        <v>12</v>
      </c>
      <c r="D114" s="102" t="s">
        <v>15</v>
      </c>
      <c r="E114" s="5">
        <v>1500</v>
      </c>
      <c r="F114" s="5"/>
      <c r="G114" s="5">
        <f t="shared" ref="G114:G118" si="10">F114-E114</f>
        <v>-1500</v>
      </c>
      <c r="H114" s="139"/>
      <c r="I114" s="28"/>
      <c r="J114" s="5"/>
      <c r="K114" s="28"/>
      <c r="L114" s="5"/>
      <c r="M114" s="5"/>
      <c r="N114" s="5"/>
      <c r="O114" s="5"/>
      <c r="P114" s="5"/>
      <c r="Q114" s="5"/>
      <c r="R114" s="5"/>
      <c r="S114" s="5"/>
    </row>
    <row r="115" spans="1:19" x14ac:dyDescent="0.25">
      <c r="A115" s="4" t="s">
        <v>73</v>
      </c>
      <c r="B115" s="105"/>
      <c r="C115" s="104"/>
      <c r="D115" s="148"/>
      <c r="E115" s="5">
        <v>986.7</v>
      </c>
      <c r="F115" s="5"/>
      <c r="G115" s="5">
        <f t="shared" si="10"/>
        <v>-986.7</v>
      </c>
      <c r="H115" s="139"/>
      <c r="I115" s="28"/>
      <c r="J115" s="5"/>
      <c r="K115" s="28"/>
      <c r="L115" s="5"/>
      <c r="M115" s="5">
        <v>660</v>
      </c>
      <c r="N115" s="5"/>
      <c r="O115" s="5"/>
      <c r="P115" s="5"/>
      <c r="Q115" s="5"/>
      <c r="R115" s="5"/>
      <c r="S115" s="5"/>
    </row>
    <row r="116" spans="1:19" x14ac:dyDescent="0.25">
      <c r="A116" s="4" t="s">
        <v>59</v>
      </c>
      <c r="B116" s="99"/>
      <c r="C116" s="101"/>
      <c r="D116" s="103"/>
      <c r="E116" s="5">
        <v>87.3</v>
      </c>
      <c r="F116" s="5">
        <f>G97</f>
        <v>-131.48000000000002</v>
      </c>
      <c r="G116" s="5">
        <f t="shared" si="10"/>
        <v>-218.78000000000003</v>
      </c>
      <c r="H116" s="139"/>
      <c r="I116" s="28"/>
      <c r="J116" s="5"/>
      <c r="K116" s="28"/>
      <c r="L116" s="5"/>
      <c r="M116" s="5"/>
      <c r="N116" s="5"/>
      <c r="O116" s="5"/>
      <c r="P116" s="5"/>
      <c r="Q116" s="5"/>
      <c r="R116" s="5"/>
      <c r="S116" s="5"/>
    </row>
    <row r="117" spans="1:19" x14ac:dyDescent="0.25">
      <c r="A117" s="4" t="s">
        <v>47</v>
      </c>
      <c r="B117" s="98" t="s">
        <v>36</v>
      </c>
      <c r="C117" s="100" t="s">
        <v>41</v>
      </c>
      <c r="D117" s="146" t="s">
        <v>40</v>
      </c>
      <c r="E117" s="5"/>
      <c r="F117" s="5"/>
      <c r="G117" s="5">
        <f t="shared" si="10"/>
        <v>0</v>
      </c>
      <c r="H117" s="139"/>
      <c r="I117" s="28"/>
      <c r="J117" s="5"/>
      <c r="K117" s="28"/>
      <c r="L117" s="5"/>
      <c r="M117" s="5"/>
      <c r="N117" s="5"/>
      <c r="O117" s="5"/>
      <c r="P117" s="5"/>
      <c r="Q117" s="5"/>
      <c r="R117" s="5"/>
      <c r="S117" s="5"/>
    </row>
    <row r="118" spans="1:19" x14ac:dyDescent="0.25">
      <c r="A118" s="4" t="s">
        <v>48</v>
      </c>
      <c r="B118" s="99"/>
      <c r="C118" s="101"/>
      <c r="D118" s="147"/>
      <c r="E118" s="5"/>
      <c r="F118" s="5"/>
      <c r="G118" s="5">
        <f t="shared" si="10"/>
        <v>0</v>
      </c>
      <c r="H118" s="139"/>
      <c r="I118" s="28"/>
      <c r="J118" s="5"/>
      <c r="K118" s="28"/>
      <c r="L118" s="5"/>
      <c r="M118" s="5"/>
      <c r="N118" s="5"/>
      <c r="O118" s="5"/>
      <c r="P118" s="5"/>
      <c r="Q118" s="5"/>
      <c r="R118" s="5"/>
      <c r="S118" s="5"/>
    </row>
    <row r="119" spans="1:19" x14ac:dyDescent="0.25">
      <c r="A119" s="151" t="s">
        <v>106</v>
      </c>
      <c r="B119" s="98" t="s">
        <v>93</v>
      </c>
      <c r="C119" s="100" t="s">
        <v>88</v>
      </c>
      <c r="D119" s="16"/>
      <c r="E119" s="5"/>
      <c r="F119" s="5"/>
      <c r="G119" s="5" t="s">
        <v>92</v>
      </c>
      <c r="H119" s="139"/>
      <c r="I119" s="28"/>
      <c r="J119" s="5"/>
      <c r="K119" s="28"/>
      <c r="L119" s="5"/>
      <c r="M119" s="5"/>
      <c r="N119" s="5"/>
      <c r="O119" s="5"/>
      <c r="P119" s="5"/>
      <c r="Q119" s="5"/>
      <c r="R119" s="5"/>
      <c r="S119" s="5"/>
    </row>
    <row r="120" spans="1:19" x14ac:dyDescent="0.25">
      <c r="A120" s="152"/>
      <c r="B120" s="99"/>
      <c r="C120" s="101"/>
      <c r="D120" s="16"/>
      <c r="E120" s="5"/>
      <c r="F120" s="5"/>
      <c r="G120" s="5" t="s">
        <v>92</v>
      </c>
      <c r="H120" s="139"/>
      <c r="I120" s="28"/>
      <c r="J120" s="5"/>
      <c r="K120" s="28"/>
      <c r="L120" s="5"/>
      <c r="M120" s="5"/>
      <c r="N120" s="5"/>
      <c r="O120" s="5"/>
      <c r="P120" s="5"/>
      <c r="Q120" s="5"/>
      <c r="R120" s="5"/>
      <c r="S120" s="5"/>
    </row>
    <row r="121" spans="1:19" x14ac:dyDescent="0.25">
      <c r="A121" s="4" t="s">
        <v>3</v>
      </c>
      <c r="B121" s="35" t="s">
        <v>68</v>
      </c>
      <c r="C121" s="5"/>
      <c r="D121" s="15"/>
      <c r="E121" s="5"/>
      <c r="F121" s="5"/>
      <c r="G121" s="5">
        <f>F121-E121</f>
        <v>0</v>
      </c>
      <c r="H121" s="139"/>
      <c r="I121" s="28"/>
      <c r="J121" s="5"/>
      <c r="K121" s="28"/>
      <c r="L121" s="5"/>
      <c r="M121" s="5"/>
      <c r="N121" s="5"/>
      <c r="O121" s="5"/>
      <c r="P121" s="5"/>
      <c r="Q121" s="5"/>
      <c r="R121" s="5"/>
      <c r="S121" s="5"/>
    </row>
    <row r="122" spans="1:19" x14ac:dyDescent="0.25">
      <c r="A122" s="4" t="s">
        <v>67</v>
      </c>
      <c r="B122" s="35" t="s">
        <v>5</v>
      </c>
      <c r="C122" s="5" t="s">
        <v>16</v>
      </c>
      <c r="D122" s="15" t="s">
        <v>6</v>
      </c>
      <c r="E122" s="5"/>
      <c r="F122" s="5"/>
      <c r="G122" s="5">
        <f t="shared" ref="G122:G128" si="11">F122-E122</f>
        <v>0</v>
      </c>
      <c r="H122" s="139"/>
      <c r="I122" s="28"/>
      <c r="J122" s="5"/>
      <c r="K122" s="28"/>
      <c r="L122" s="5"/>
      <c r="M122" s="5"/>
      <c r="N122" s="5"/>
      <c r="O122" s="5"/>
      <c r="P122" s="5"/>
      <c r="Q122" s="5"/>
      <c r="R122" s="5"/>
      <c r="S122" s="5"/>
    </row>
    <row r="123" spans="1:19" x14ac:dyDescent="0.25">
      <c r="A123" s="4" t="s">
        <v>100</v>
      </c>
      <c r="B123" s="35"/>
      <c r="C123" s="5"/>
      <c r="D123" s="15"/>
      <c r="E123" s="5"/>
      <c r="F123" s="5"/>
      <c r="G123" s="5">
        <f t="shared" si="11"/>
        <v>0</v>
      </c>
      <c r="H123" s="139"/>
      <c r="I123" s="28"/>
      <c r="J123" s="5"/>
      <c r="K123" s="28"/>
      <c r="L123" s="5"/>
      <c r="M123" s="5"/>
      <c r="N123" s="5"/>
      <c r="O123" s="5"/>
      <c r="P123" s="5"/>
      <c r="Q123" s="5"/>
      <c r="R123" s="5"/>
      <c r="S123" s="5"/>
    </row>
    <row r="124" spans="1:19" x14ac:dyDescent="0.25">
      <c r="A124" s="4" t="s">
        <v>30</v>
      </c>
      <c r="B124" s="35"/>
      <c r="C124" s="5"/>
      <c r="D124" s="14"/>
      <c r="E124" s="5"/>
      <c r="F124" s="5"/>
      <c r="G124" s="5">
        <f t="shared" si="11"/>
        <v>0</v>
      </c>
      <c r="H124" s="139"/>
      <c r="I124" s="28"/>
      <c r="J124" s="5"/>
      <c r="K124" s="28"/>
      <c r="L124" s="5"/>
      <c r="M124" s="5"/>
      <c r="N124" s="5"/>
      <c r="O124" s="5"/>
      <c r="P124" s="5"/>
      <c r="Q124" s="5"/>
      <c r="R124" s="5"/>
      <c r="S124" s="5"/>
    </row>
    <row r="125" spans="1:19" x14ac:dyDescent="0.25">
      <c r="A125" s="4" t="s">
        <v>61</v>
      </c>
      <c r="B125" s="35" t="s">
        <v>62</v>
      </c>
      <c r="C125" s="14"/>
      <c r="D125" s="14"/>
      <c r="E125" s="5"/>
      <c r="F125" s="5"/>
      <c r="G125" s="5">
        <f t="shared" si="11"/>
        <v>0</v>
      </c>
      <c r="H125" s="139"/>
      <c r="I125" s="28"/>
      <c r="J125" s="5"/>
      <c r="K125" s="28"/>
      <c r="L125" s="5"/>
      <c r="M125" s="5"/>
      <c r="N125" s="5"/>
      <c r="O125" s="5"/>
      <c r="P125" s="5"/>
      <c r="Q125" s="5"/>
      <c r="R125" s="5"/>
      <c r="S125" s="5"/>
    </row>
    <row r="126" spans="1:19" x14ac:dyDescent="0.25">
      <c r="A126" s="4" t="s">
        <v>101</v>
      </c>
      <c r="B126" s="37" t="s">
        <v>102</v>
      </c>
      <c r="C126" s="6"/>
      <c r="D126" s="14"/>
      <c r="E126" s="5"/>
      <c r="F126" s="5"/>
      <c r="G126" s="5">
        <f t="shared" si="11"/>
        <v>0</v>
      </c>
      <c r="H126" s="139"/>
      <c r="I126" s="28"/>
      <c r="J126" s="5"/>
      <c r="K126" s="28"/>
      <c r="L126" s="5"/>
      <c r="M126" s="5"/>
      <c r="N126" s="5"/>
      <c r="O126" s="5"/>
      <c r="P126" s="5"/>
      <c r="Q126" s="5"/>
      <c r="R126" s="5"/>
      <c r="S126" s="5"/>
    </row>
    <row r="127" spans="1:19" x14ac:dyDescent="0.25">
      <c r="A127" s="4" t="s">
        <v>65</v>
      </c>
      <c r="B127" s="35" t="s">
        <v>66</v>
      </c>
      <c r="C127" s="5"/>
      <c r="D127" s="14"/>
      <c r="E127" s="5"/>
      <c r="F127" s="5"/>
      <c r="G127" s="5">
        <f t="shared" si="11"/>
        <v>0</v>
      </c>
      <c r="H127" s="139"/>
      <c r="I127" s="28"/>
      <c r="J127" s="5"/>
      <c r="K127" s="28"/>
      <c r="L127" s="5"/>
      <c r="M127" s="5"/>
      <c r="N127" s="5"/>
      <c r="O127" s="5"/>
      <c r="P127" s="5"/>
      <c r="Q127" s="5"/>
      <c r="R127" s="5"/>
      <c r="S127" s="5"/>
    </row>
    <row r="128" spans="1:19" x14ac:dyDescent="0.25">
      <c r="A128" s="4" t="s">
        <v>72</v>
      </c>
      <c r="B128" s="35" t="s">
        <v>43</v>
      </c>
      <c r="C128" s="5"/>
      <c r="D128" s="14"/>
      <c r="E128" s="5"/>
      <c r="F128" s="17"/>
      <c r="G128" s="5">
        <f t="shared" si="11"/>
        <v>0</v>
      </c>
      <c r="H128" s="140"/>
      <c r="I128" s="28"/>
      <c r="J128" s="5"/>
      <c r="K128" s="28"/>
      <c r="L128" s="5"/>
      <c r="M128" s="5"/>
      <c r="N128" s="5"/>
      <c r="O128" s="5"/>
      <c r="P128" s="5"/>
      <c r="Q128" s="5"/>
      <c r="R128" s="5"/>
      <c r="S128" s="5"/>
    </row>
    <row r="130" spans="1:19" x14ac:dyDescent="0.25">
      <c r="A130" s="1" t="s">
        <v>22</v>
      </c>
    </row>
    <row r="131" spans="1:19" s="11" customFormat="1" ht="30" x14ac:dyDescent="0.25">
      <c r="A131" s="9" t="s">
        <v>42</v>
      </c>
      <c r="B131" s="34" t="s">
        <v>2</v>
      </c>
      <c r="C131" s="9" t="s">
        <v>13</v>
      </c>
      <c r="D131" s="13" t="s">
        <v>14</v>
      </c>
      <c r="E131" s="9" t="s">
        <v>4</v>
      </c>
      <c r="F131" s="10" t="s">
        <v>94</v>
      </c>
      <c r="G131" s="10" t="s">
        <v>103</v>
      </c>
      <c r="H131" s="9" t="s">
        <v>34</v>
      </c>
      <c r="I131" s="9" t="s">
        <v>11</v>
      </c>
      <c r="J131" s="10" t="s">
        <v>58</v>
      </c>
      <c r="K131" s="10" t="s">
        <v>86</v>
      </c>
      <c r="L131" s="9" t="s">
        <v>8</v>
      </c>
      <c r="M131" s="9" t="s">
        <v>7</v>
      </c>
      <c r="N131" s="9" t="s">
        <v>31</v>
      </c>
      <c r="O131" s="9" t="s">
        <v>32</v>
      </c>
      <c r="P131" s="9" t="s">
        <v>29</v>
      </c>
      <c r="Q131" s="9" t="s">
        <v>33</v>
      </c>
      <c r="R131" s="9" t="s">
        <v>26</v>
      </c>
      <c r="S131" s="9" t="s">
        <v>27</v>
      </c>
    </row>
    <row r="132" spans="1:19" x14ac:dyDescent="0.25">
      <c r="A132" s="4" t="s">
        <v>0</v>
      </c>
      <c r="B132" s="35" t="s">
        <v>45</v>
      </c>
      <c r="C132" s="5"/>
      <c r="D132" s="14"/>
      <c r="E132" s="5">
        <v>15000</v>
      </c>
      <c r="F132" s="5"/>
      <c r="G132" s="5"/>
      <c r="H132" s="119"/>
      <c r="I132" s="28"/>
      <c r="J132" s="5"/>
      <c r="K132" s="28"/>
      <c r="L132" s="5"/>
      <c r="M132" s="5"/>
      <c r="N132" s="5"/>
      <c r="O132" s="5"/>
      <c r="P132" s="5"/>
      <c r="Q132" s="5"/>
      <c r="R132" s="5"/>
      <c r="S132" s="5"/>
    </row>
    <row r="133" spans="1:19" x14ac:dyDescent="0.25">
      <c r="A133" s="4" t="s">
        <v>105</v>
      </c>
      <c r="B133" s="98" t="s">
        <v>35</v>
      </c>
      <c r="C133" s="100" t="s">
        <v>12</v>
      </c>
      <c r="D133" s="102" t="s">
        <v>15</v>
      </c>
      <c r="E133" s="5">
        <v>1000</v>
      </c>
      <c r="F133" s="5"/>
      <c r="G133" s="5"/>
      <c r="H133" s="139"/>
      <c r="I133" s="28"/>
      <c r="J133" s="5"/>
      <c r="K133" s="28"/>
      <c r="L133" s="5"/>
      <c r="M133" s="5"/>
      <c r="N133" s="5"/>
      <c r="O133" s="5"/>
      <c r="P133" s="5"/>
      <c r="Q133" s="5"/>
      <c r="R133" s="5"/>
      <c r="S133" s="5"/>
    </row>
    <row r="134" spans="1:19" x14ac:dyDescent="0.25">
      <c r="A134" s="4" t="s">
        <v>59</v>
      </c>
      <c r="B134" s="99"/>
      <c r="C134" s="101"/>
      <c r="D134" s="103"/>
      <c r="E134" s="5">
        <v>118</v>
      </c>
      <c r="F134" s="5"/>
      <c r="G134" s="5"/>
      <c r="H134" s="139"/>
      <c r="I134" s="28"/>
      <c r="J134" s="5"/>
      <c r="K134" s="28"/>
      <c r="L134" s="5"/>
      <c r="M134" s="5"/>
      <c r="N134" s="5"/>
      <c r="O134" s="5"/>
      <c r="P134" s="5"/>
      <c r="Q134" s="5"/>
      <c r="R134" s="5"/>
      <c r="S134" s="5"/>
    </row>
    <row r="135" spans="1:19" x14ac:dyDescent="0.25">
      <c r="A135" s="4" t="s">
        <v>47</v>
      </c>
      <c r="B135" s="98" t="s">
        <v>36</v>
      </c>
      <c r="C135" s="100" t="s">
        <v>41</v>
      </c>
      <c r="D135" s="146" t="s">
        <v>40</v>
      </c>
      <c r="E135" s="5">
        <v>703</v>
      </c>
      <c r="F135" s="5"/>
      <c r="G135" s="5"/>
      <c r="H135" s="139"/>
      <c r="I135" s="28"/>
      <c r="J135" s="5"/>
      <c r="K135" s="28"/>
      <c r="L135" s="5"/>
      <c r="M135" s="5"/>
      <c r="N135" s="5"/>
      <c r="O135" s="5"/>
      <c r="P135" s="5"/>
      <c r="Q135" s="5"/>
      <c r="R135" s="5"/>
      <c r="S135" s="5"/>
    </row>
    <row r="136" spans="1:19" x14ac:dyDescent="0.25">
      <c r="A136" s="4" t="s">
        <v>48</v>
      </c>
      <c r="B136" s="99"/>
      <c r="C136" s="101"/>
      <c r="D136" s="147"/>
      <c r="E136" s="5">
        <v>1054.5</v>
      </c>
      <c r="F136" s="5"/>
      <c r="G136" s="5"/>
      <c r="H136" s="139"/>
      <c r="I136" s="28"/>
      <c r="J136" s="5"/>
      <c r="K136" s="28"/>
      <c r="L136" s="5"/>
      <c r="M136" s="5"/>
      <c r="N136" s="5"/>
      <c r="O136" s="5"/>
      <c r="P136" s="5"/>
      <c r="Q136" s="5"/>
      <c r="R136" s="5"/>
      <c r="S136" s="5"/>
    </row>
    <row r="137" spans="1:19" x14ac:dyDescent="0.25">
      <c r="A137" s="4" t="s">
        <v>47</v>
      </c>
      <c r="B137" s="98" t="s">
        <v>93</v>
      </c>
      <c r="C137" s="100" t="s">
        <v>88</v>
      </c>
      <c r="D137" s="16"/>
      <c r="E137" s="100">
        <f>E136+E135</f>
        <v>1757.5</v>
      </c>
      <c r="F137" s="5"/>
      <c r="G137" s="5"/>
      <c r="H137" s="139"/>
      <c r="I137" s="28"/>
      <c r="J137" s="5"/>
      <c r="K137" s="28"/>
      <c r="L137" s="5"/>
      <c r="M137" s="5"/>
      <c r="N137" s="5"/>
      <c r="O137" s="5"/>
      <c r="P137" s="5"/>
      <c r="Q137" s="5"/>
      <c r="R137" s="5"/>
      <c r="S137" s="5"/>
    </row>
    <row r="138" spans="1:19" x14ac:dyDescent="0.25">
      <c r="A138" s="4" t="s">
        <v>48</v>
      </c>
      <c r="B138" s="99"/>
      <c r="C138" s="101"/>
      <c r="D138" s="16"/>
      <c r="E138" s="101"/>
      <c r="F138" s="5"/>
      <c r="G138" s="5"/>
      <c r="H138" s="139"/>
      <c r="I138" s="28"/>
      <c r="J138" s="5"/>
      <c r="K138" s="28"/>
      <c r="L138" s="5"/>
      <c r="M138" s="5"/>
      <c r="N138" s="5"/>
      <c r="O138" s="5"/>
      <c r="P138" s="5"/>
      <c r="Q138" s="5"/>
      <c r="R138" s="5"/>
      <c r="S138" s="5"/>
    </row>
    <row r="139" spans="1:19" x14ac:dyDescent="0.25">
      <c r="A139" s="4" t="s">
        <v>3</v>
      </c>
      <c r="B139" s="35" t="s">
        <v>68</v>
      </c>
      <c r="C139" s="5"/>
      <c r="D139" s="15"/>
      <c r="E139" s="5">
        <v>2</v>
      </c>
      <c r="F139" s="5"/>
      <c r="G139" s="5"/>
      <c r="H139" s="139"/>
      <c r="I139" s="28"/>
      <c r="J139" s="5"/>
      <c r="K139" s="28"/>
      <c r="L139" s="5"/>
      <c r="M139" s="5"/>
      <c r="N139" s="5"/>
      <c r="O139" s="5"/>
      <c r="P139" s="5"/>
      <c r="Q139" s="5"/>
      <c r="R139" s="5"/>
      <c r="S139" s="5"/>
    </row>
    <row r="140" spans="1:19" x14ac:dyDescent="0.25">
      <c r="A140" s="4" t="s">
        <v>67</v>
      </c>
      <c r="B140" s="35" t="s">
        <v>5</v>
      </c>
      <c r="C140" s="5" t="s">
        <v>16</v>
      </c>
      <c r="D140" s="15" t="s">
        <v>6</v>
      </c>
      <c r="E140" s="5">
        <v>25</v>
      </c>
      <c r="F140" s="5"/>
      <c r="G140" s="5"/>
      <c r="H140" s="139"/>
      <c r="I140" s="28"/>
      <c r="J140" s="5"/>
      <c r="K140" s="28"/>
      <c r="L140" s="5"/>
      <c r="M140" s="5"/>
      <c r="N140" s="5"/>
      <c r="O140" s="5"/>
      <c r="P140" s="5"/>
      <c r="Q140" s="5"/>
      <c r="R140" s="5"/>
      <c r="S140" s="5"/>
    </row>
    <row r="141" spans="1:19" x14ac:dyDescent="0.25">
      <c r="A141" s="4" t="s">
        <v>17</v>
      </c>
      <c r="B141" s="35" t="s">
        <v>37</v>
      </c>
      <c r="C141" s="5" t="s">
        <v>38</v>
      </c>
      <c r="D141" s="15" t="s">
        <v>39</v>
      </c>
      <c r="E141" s="5">
        <v>1025</v>
      </c>
      <c r="F141" s="5"/>
      <c r="G141" s="5"/>
      <c r="H141" s="139"/>
      <c r="I141" s="28"/>
      <c r="J141" s="5"/>
      <c r="K141" s="28"/>
      <c r="L141" s="5"/>
      <c r="M141" s="5"/>
      <c r="N141" s="5"/>
      <c r="O141" s="5"/>
      <c r="P141" s="5"/>
      <c r="Q141" s="5"/>
      <c r="R141" s="5"/>
      <c r="S141" s="5"/>
    </row>
    <row r="142" spans="1:19" x14ac:dyDescent="0.25">
      <c r="A142" s="4" t="s">
        <v>30</v>
      </c>
      <c r="B142" s="35"/>
      <c r="C142" s="5"/>
      <c r="D142" s="14"/>
      <c r="E142" s="5">
        <v>25</v>
      </c>
      <c r="F142" s="5"/>
      <c r="G142" s="5"/>
      <c r="H142" s="139"/>
      <c r="I142" s="28"/>
      <c r="J142" s="5"/>
      <c r="K142" s="28"/>
      <c r="L142" s="5"/>
      <c r="M142" s="5"/>
      <c r="N142" s="5"/>
      <c r="O142" s="5"/>
      <c r="P142" s="5"/>
      <c r="Q142" s="5"/>
      <c r="R142" s="5"/>
      <c r="S142" s="5"/>
    </row>
    <row r="143" spans="1:19" x14ac:dyDescent="0.25">
      <c r="A143" s="4" t="s">
        <v>110</v>
      </c>
      <c r="B143" s="98" t="s">
        <v>111</v>
      </c>
      <c r="C143" s="100" t="s">
        <v>63</v>
      </c>
      <c r="D143" s="14"/>
      <c r="E143" s="5">
        <v>1000</v>
      </c>
      <c r="F143" s="5"/>
      <c r="G143" s="5"/>
      <c r="H143" s="139"/>
      <c r="I143" s="28"/>
      <c r="J143" s="5"/>
      <c r="K143" s="28"/>
      <c r="L143" s="5"/>
      <c r="M143" s="5"/>
      <c r="N143" s="5"/>
      <c r="O143" s="5"/>
      <c r="P143" s="5"/>
      <c r="Q143" s="5"/>
      <c r="R143" s="5"/>
      <c r="S143" s="5"/>
    </row>
    <row r="144" spans="1:19" x14ac:dyDescent="0.25">
      <c r="A144" s="4" t="s">
        <v>109</v>
      </c>
      <c r="B144" s="99"/>
      <c r="C144" s="101"/>
      <c r="D144" s="14"/>
      <c r="E144" s="5">
        <v>1000</v>
      </c>
      <c r="F144" s="5"/>
      <c r="G144" s="5"/>
      <c r="H144" s="139"/>
      <c r="I144" s="28"/>
      <c r="J144" s="5"/>
      <c r="K144" s="28"/>
      <c r="L144" s="5"/>
      <c r="M144" s="5"/>
      <c r="N144" s="5"/>
      <c r="O144" s="5"/>
      <c r="P144" s="5"/>
      <c r="Q144" s="5"/>
      <c r="R144" s="5"/>
      <c r="S144" s="5"/>
    </row>
    <row r="145" spans="1:19" x14ac:dyDescent="0.25">
      <c r="A145" s="4" t="s">
        <v>65</v>
      </c>
      <c r="B145" s="35" t="s">
        <v>66</v>
      </c>
      <c r="C145" s="5"/>
      <c r="D145" s="14"/>
      <c r="E145" s="5">
        <v>95</v>
      </c>
      <c r="F145" s="5"/>
      <c r="G145" s="5"/>
      <c r="H145" s="139"/>
      <c r="I145" s="28"/>
      <c r="J145" s="5"/>
      <c r="K145" s="28"/>
      <c r="L145" s="5"/>
      <c r="M145" s="5"/>
      <c r="N145" s="5"/>
      <c r="O145" s="5"/>
      <c r="P145" s="5"/>
      <c r="Q145" s="5"/>
      <c r="R145" s="5"/>
      <c r="S145" s="5"/>
    </row>
    <row r="146" spans="1:19" x14ac:dyDescent="0.25">
      <c r="A146" s="4" t="s">
        <v>72</v>
      </c>
      <c r="B146" s="35" t="s">
        <v>43</v>
      </c>
      <c r="C146" s="5"/>
      <c r="D146" s="14"/>
      <c r="E146" s="5">
        <v>34</v>
      </c>
      <c r="F146" s="5"/>
      <c r="G146" s="5"/>
      <c r="H146" s="140"/>
      <c r="I146" s="28"/>
      <c r="J146" s="5"/>
      <c r="K146" s="28"/>
      <c r="L146" s="5"/>
      <c r="M146" s="5"/>
      <c r="N146" s="5"/>
      <c r="O146" s="5"/>
      <c r="P146" s="5"/>
      <c r="Q146" s="5"/>
      <c r="R146" s="5"/>
      <c r="S146" s="5"/>
    </row>
    <row r="148" spans="1:19" x14ac:dyDescent="0.25">
      <c r="A148" s="1" t="s">
        <v>23</v>
      </c>
    </row>
    <row r="149" spans="1:19" s="11" customFormat="1" ht="30" x14ac:dyDescent="0.25">
      <c r="A149" s="9" t="s">
        <v>42</v>
      </c>
      <c r="B149" s="34" t="s">
        <v>2</v>
      </c>
      <c r="C149" s="9" t="s">
        <v>13</v>
      </c>
      <c r="D149" s="13" t="s">
        <v>14</v>
      </c>
      <c r="E149" s="9" t="s">
        <v>4</v>
      </c>
      <c r="F149" s="10" t="s">
        <v>94</v>
      </c>
      <c r="G149" s="10" t="s">
        <v>103</v>
      </c>
      <c r="H149" s="9" t="s">
        <v>34</v>
      </c>
      <c r="I149" s="9" t="s">
        <v>11</v>
      </c>
      <c r="J149" s="10" t="s">
        <v>58</v>
      </c>
      <c r="K149" s="10" t="s">
        <v>86</v>
      </c>
      <c r="L149" s="9" t="s">
        <v>8</v>
      </c>
      <c r="M149" s="9" t="s">
        <v>7</v>
      </c>
      <c r="N149" s="9" t="s">
        <v>31</v>
      </c>
      <c r="O149" s="9" t="s">
        <v>32</v>
      </c>
      <c r="P149" s="9" t="s">
        <v>29</v>
      </c>
      <c r="Q149" s="9" t="s">
        <v>33</v>
      </c>
      <c r="R149" s="9" t="s">
        <v>26</v>
      </c>
      <c r="S149" s="9" t="s">
        <v>27</v>
      </c>
    </row>
    <row r="150" spans="1:19" x14ac:dyDescent="0.25">
      <c r="A150" s="4" t="s">
        <v>0</v>
      </c>
      <c r="B150" s="35" t="s">
        <v>45</v>
      </c>
      <c r="C150" s="5"/>
      <c r="D150" s="14"/>
      <c r="E150" s="5">
        <v>21334</v>
      </c>
      <c r="F150" s="5"/>
      <c r="G150" s="5"/>
      <c r="H150" s="141"/>
      <c r="I150" s="28"/>
      <c r="J150" s="5"/>
      <c r="K150" s="28"/>
      <c r="L150" s="5"/>
      <c r="M150" s="5"/>
      <c r="N150" s="5"/>
      <c r="O150" s="5"/>
      <c r="P150" s="5"/>
      <c r="Q150" s="5"/>
      <c r="R150" s="5"/>
      <c r="S150" s="5"/>
    </row>
    <row r="151" spans="1:19" ht="15" customHeight="1" x14ac:dyDescent="0.25">
      <c r="A151" s="4" t="s">
        <v>104</v>
      </c>
      <c r="B151" s="98" t="s">
        <v>35</v>
      </c>
      <c r="C151" s="100" t="s">
        <v>12</v>
      </c>
      <c r="D151" s="102" t="s">
        <v>15</v>
      </c>
      <c r="E151" s="5">
        <v>2000</v>
      </c>
      <c r="F151" s="5"/>
      <c r="G151" s="5"/>
      <c r="H151" s="141"/>
      <c r="I151" s="28"/>
      <c r="J151" s="5"/>
      <c r="K151" s="28"/>
      <c r="L151" s="5"/>
      <c r="M151" s="5"/>
      <c r="N151" s="5"/>
      <c r="O151" s="5"/>
      <c r="P151" s="5"/>
      <c r="Q151" s="5"/>
      <c r="R151" s="5"/>
      <c r="S151" s="5"/>
    </row>
    <row r="152" spans="1:19" x14ac:dyDescent="0.25">
      <c r="A152" s="4" t="s">
        <v>73</v>
      </c>
      <c r="B152" s="105"/>
      <c r="C152" s="104"/>
      <c r="D152" s="148"/>
      <c r="E152" s="5">
        <v>86.48</v>
      </c>
      <c r="F152" s="5"/>
      <c r="G152" s="5"/>
      <c r="H152" s="141"/>
      <c r="I152" s="28"/>
      <c r="J152" s="5"/>
      <c r="K152" s="28"/>
      <c r="L152" s="5"/>
      <c r="M152" s="5"/>
      <c r="N152" s="5"/>
      <c r="O152" s="5"/>
      <c r="P152" s="5"/>
      <c r="Q152" s="5"/>
      <c r="R152" s="5"/>
      <c r="S152" s="5"/>
    </row>
    <row r="153" spans="1:19" x14ac:dyDescent="0.25">
      <c r="A153" s="4" t="s">
        <v>59</v>
      </c>
      <c r="B153" s="99"/>
      <c r="C153" s="101"/>
      <c r="D153" s="103"/>
      <c r="E153" s="5">
        <v>76</v>
      </c>
      <c r="F153" s="5"/>
      <c r="G153" s="5"/>
      <c r="H153" s="141"/>
      <c r="I153" s="28"/>
      <c r="J153" s="5"/>
      <c r="K153" s="28"/>
      <c r="L153" s="5"/>
      <c r="M153" s="5"/>
      <c r="N153" s="5"/>
      <c r="O153" s="5"/>
      <c r="P153" s="5"/>
      <c r="Q153" s="5"/>
      <c r="R153" s="5"/>
      <c r="S153" s="5"/>
    </row>
    <row r="154" spans="1:19" x14ac:dyDescent="0.25">
      <c r="A154" s="4" t="s">
        <v>47</v>
      </c>
      <c r="B154" s="98" t="s">
        <v>36</v>
      </c>
      <c r="C154" s="100" t="s">
        <v>41</v>
      </c>
      <c r="D154" s="146" t="s">
        <v>40</v>
      </c>
      <c r="E154" s="5">
        <v>788</v>
      </c>
      <c r="F154" s="5"/>
      <c r="G154" s="5"/>
      <c r="H154" s="141"/>
      <c r="I154" s="28"/>
      <c r="J154" s="5"/>
      <c r="K154" s="28"/>
      <c r="L154" s="5"/>
      <c r="M154" s="5"/>
      <c r="N154" s="5"/>
      <c r="O154" s="5"/>
      <c r="P154" s="5"/>
      <c r="Q154" s="5"/>
      <c r="R154" s="5"/>
      <c r="S154" s="5"/>
    </row>
    <row r="155" spans="1:19" x14ac:dyDescent="0.25">
      <c r="A155" s="4" t="s">
        <v>48</v>
      </c>
      <c r="B155" s="99"/>
      <c r="C155" s="101"/>
      <c r="D155" s="147"/>
      <c r="E155" s="5">
        <v>1182</v>
      </c>
      <c r="F155" s="5"/>
      <c r="G155" s="5"/>
      <c r="H155" s="141"/>
      <c r="I155" s="28"/>
      <c r="J155" s="5"/>
      <c r="K155" s="28"/>
      <c r="L155" s="5"/>
      <c r="M155" s="5"/>
      <c r="N155" s="5"/>
      <c r="O155" s="5"/>
      <c r="P155" s="5"/>
      <c r="Q155" s="5"/>
      <c r="R155" s="5"/>
      <c r="S155" s="5"/>
    </row>
    <row r="156" spans="1:19" x14ac:dyDescent="0.25">
      <c r="A156" s="151" t="s">
        <v>106</v>
      </c>
      <c r="B156" s="98" t="s">
        <v>93</v>
      </c>
      <c r="C156" s="100" t="s">
        <v>88</v>
      </c>
      <c r="D156" s="16"/>
      <c r="E156" s="100">
        <f>E155+E154</f>
        <v>1970</v>
      </c>
      <c r="F156" s="5"/>
      <c r="G156" s="5"/>
      <c r="H156" s="141"/>
      <c r="I156" s="28"/>
      <c r="J156" s="5"/>
      <c r="K156" s="28"/>
      <c r="L156" s="5"/>
      <c r="M156" s="5"/>
      <c r="N156" s="5"/>
      <c r="O156" s="5"/>
      <c r="P156" s="5"/>
      <c r="Q156" s="5"/>
      <c r="R156" s="5"/>
      <c r="S156" s="5"/>
    </row>
    <row r="157" spans="1:19" x14ac:dyDescent="0.25">
      <c r="A157" s="152"/>
      <c r="B157" s="99"/>
      <c r="C157" s="101"/>
      <c r="D157" s="16"/>
      <c r="E157" s="101"/>
      <c r="F157" s="5"/>
      <c r="G157" s="5"/>
      <c r="H157" s="141"/>
      <c r="I157" s="28"/>
      <c r="J157" s="5"/>
      <c r="K157" s="28"/>
      <c r="L157" s="5"/>
      <c r="M157" s="5"/>
      <c r="N157" s="5"/>
      <c r="O157" s="5"/>
      <c r="P157" s="5"/>
      <c r="Q157" s="5"/>
      <c r="R157" s="5"/>
      <c r="S157" s="5"/>
    </row>
    <row r="158" spans="1:19" x14ac:dyDescent="0.25">
      <c r="A158" s="4" t="s">
        <v>3</v>
      </c>
      <c r="B158" s="35" t="s">
        <v>68</v>
      </c>
      <c r="C158" s="5"/>
      <c r="D158" s="15"/>
      <c r="E158" s="5">
        <v>3.2</v>
      </c>
      <c r="F158" s="5"/>
      <c r="G158" s="5"/>
      <c r="H158" s="141"/>
      <c r="I158" s="28"/>
      <c r="J158" s="5"/>
      <c r="K158" s="28"/>
      <c r="L158" s="5"/>
      <c r="M158" s="5"/>
      <c r="N158" s="5"/>
      <c r="O158" s="5"/>
      <c r="P158" s="5"/>
      <c r="Q158" s="5"/>
      <c r="R158" s="5"/>
      <c r="S158" s="5"/>
    </row>
    <row r="159" spans="1:19" x14ac:dyDescent="0.25">
      <c r="A159" s="4" t="s">
        <v>67</v>
      </c>
      <c r="B159" s="35" t="s">
        <v>5</v>
      </c>
      <c r="C159" s="5" t="s">
        <v>16</v>
      </c>
      <c r="D159" s="15" t="s">
        <v>6</v>
      </c>
      <c r="E159" s="5">
        <v>22</v>
      </c>
      <c r="F159" s="5"/>
      <c r="G159" s="5"/>
      <c r="H159" s="141"/>
      <c r="I159" s="28"/>
      <c r="J159" s="5"/>
      <c r="K159" s="28"/>
      <c r="L159" s="5"/>
      <c r="M159" s="5"/>
      <c r="N159" s="5"/>
      <c r="O159" s="5"/>
      <c r="P159" s="5"/>
      <c r="Q159" s="5"/>
      <c r="R159" s="5"/>
      <c r="S159" s="5"/>
    </row>
    <row r="160" spans="1:19" x14ac:dyDescent="0.25">
      <c r="A160" s="4" t="s">
        <v>17</v>
      </c>
      <c r="B160" s="35" t="s">
        <v>37</v>
      </c>
      <c r="C160" s="5" t="s">
        <v>38</v>
      </c>
      <c r="D160" s="15" t="s">
        <v>39</v>
      </c>
      <c r="E160" s="5">
        <v>2050</v>
      </c>
      <c r="F160" s="5"/>
      <c r="G160" s="5"/>
      <c r="H160" s="141"/>
      <c r="I160" s="28"/>
      <c r="J160" s="5"/>
      <c r="K160" s="28"/>
      <c r="L160" s="5"/>
      <c r="M160" s="5"/>
      <c r="N160" s="5"/>
      <c r="O160" s="5"/>
      <c r="P160" s="5"/>
      <c r="Q160" s="5"/>
      <c r="R160" s="5"/>
      <c r="S160" s="5"/>
    </row>
    <row r="161" spans="1:19" x14ac:dyDescent="0.25">
      <c r="A161" s="4" t="s">
        <v>30</v>
      </c>
      <c r="B161" s="35"/>
      <c r="C161" s="5"/>
      <c r="D161" s="14"/>
      <c r="E161" s="5">
        <v>50</v>
      </c>
      <c r="F161" s="5"/>
      <c r="G161" s="5"/>
      <c r="H161" s="141"/>
      <c r="I161" s="28"/>
      <c r="J161" s="5"/>
      <c r="K161" s="28"/>
      <c r="L161" s="5"/>
      <c r="M161" s="5"/>
      <c r="N161" s="5"/>
      <c r="O161" s="5"/>
      <c r="P161" s="5"/>
      <c r="Q161" s="5"/>
      <c r="R161" s="5"/>
      <c r="S161" s="5"/>
    </row>
    <row r="162" spans="1:19" x14ac:dyDescent="0.25">
      <c r="A162" s="4" t="s">
        <v>61</v>
      </c>
      <c r="B162" s="35" t="s">
        <v>62</v>
      </c>
      <c r="C162" s="104"/>
      <c r="D162" s="14"/>
      <c r="E162" s="5">
        <v>2000</v>
      </c>
      <c r="F162" s="5"/>
      <c r="G162" s="5"/>
      <c r="H162" s="141"/>
      <c r="I162" s="28"/>
      <c r="J162" s="5"/>
      <c r="K162" s="28"/>
      <c r="L162" s="5"/>
      <c r="M162" s="5"/>
      <c r="N162" s="5"/>
      <c r="O162" s="5"/>
      <c r="P162" s="5"/>
      <c r="Q162" s="5"/>
      <c r="R162" s="5"/>
      <c r="S162" s="5"/>
    </row>
    <row r="163" spans="1:19" x14ac:dyDescent="0.25">
      <c r="A163" s="4" t="s">
        <v>108</v>
      </c>
      <c r="B163" s="37" t="s">
        <v>111</v>
      </c>
      <c r="C163" s="101"/>
      <c r="D163" s="14"/>
      <c r="E163" s="5">
        <v>2000</v>
      </c>
      <c r="F163" s="5"/>
      <c r="G163" s="5"/>
      <c r="H163" s="141"/>
      <c r="I163" s="28"/>
      <c r="J163" s="5"/>
      <c r="K163" s="28"/>
      <c r="L163" s="5"/>
      <c r="M163" s="5"/>
      <c r="N163" s="5"/>
      <c r="O163" s="5"/>
      <c r="P163" s="5"/>
      <c r="Q163" s="5"/>
      <c r="R163" s="5"/>
      <c r="S163" s="5"/>
    </row>
    <row r="164" spans="1:19" x14ac:dyDescent="0.25">
      <c r="A164" s="4" t="s">
        <v>65</v>
      </c>
      <c r="B164" s="35" t="s">
        <v>66</v>
      </c>
      <c r="C164" s="5"/>
      <c r="D164" s="14"/>
      <c r="E164" s="5">
        <v>95</v>
      </c>
      <c r="F164" s="5"/>
      <c r="G164" s="5"/>
      <c r="H164" s="141"/>
      <c r="I164" s="28"/>
      <c r="J164" s="5"/>
      <c r="K164" s="28"/>
      <c r="L164" s="5"/>
      <c r="M164" s="5"/>
      <c r="N164" s="5"/>
      <c r="O164" s="5"/>
      <c r="P164" s="5"/>
      <c r="Q164" s="5"/>
      <c r="R164" s="5"/>
      <c r="S164" s="5"/>
    </row>
    <row r="165" spans="1:19" x14ac:dyDescent="0.25">
      <c r="A165" s="4" t="s">
        <v>72</v>
      </c>
      <c r="B165" s="35" t="s">
        <v>43</v>
      </c>
      <c r="C165" s="5"/>
      <c r="D165" s="14"/>
      <c r="E165" s="5">
        <v>67</v>
      </c>
      <c r="F165" s="5"/>
      <c r="G165" s="5"/>
      <c r="H165" s="141"/>
      <c r="I165" s="18"/>
      <c r="J165" s="5"/>
      <c r="K165" s="30"/>
      <c r="L165" s="5"/>
      <c r="M165" s="5"/>
      <c r="N165" s="5"/>
      <c r="O165" s="5"/>
      <c r="P165" s="5"/>
      <c r="Q165" s="5"/>
      <c r="R165" s="5"/>
      <c r="S165" s="5"/>
    </row>
    <row r="167" spans="1:19" x14ac:dyDescent="0.25">
      <c r="A167" s="1" t="s">
        <v>24</v>
      </c>
    </row>
    <row r="168" spans="1:19" s="11" customFormat="1" ht="30" x14ac:dyDescent="0.25">
      <c r="A168" s="9" t="s">
        <v>42</v>
      </c>
      <c r="B168" s="34" t="s">
        <v>2</v>
      </c>
      <c r="C168" s="9" t="s">
        <v>13</v>
      </c>
      <c r="D168" s="13" t="s">
        <v>14</v>
      </c>
      <c r="E168" s="9" t="s">
        <v>4</v>
      </c>
      <c r="F168" s="10" t="s">
        <v>94</v>
      </c>
      <c r="G168" s="10" t="s">
        <v>103</v>
      </c>
      <c r="H168" s="9" t="s">
        <v>34</v>
      </c>
      <c r="I168" s="9" t="s">
        <v>11</v>
      </c>
      <c r="J168" s="10" t="s">
        <v>58</v>
      </c>
      <c r="K168" s="10" t="s">
        <v>86</v>
      </c>
      <c r="L168" s="9" t="s">
        <v>8</v>
      </c>
      <c r="M168" s="9" t="s">
        <v>7</v>
      </c>
      <c r="N168" s="9" t="s">
        <v>31</v>
      </c>
      <c r="O168" s="9" t="s">
        <v>32</v>
      </c>
      <c r="P168" s="9" t="s">
        <v>29</v>
      </c>
      <c r="Q168" s="9" t="s">
        <v>33</v>
      </c>
      <c r="R168" s="9" t="s">
        <v>26</v>
      </c>
      <c r="S168" s="9" t="s">
        <v>27</v>
      </c>
    </row>
    <row r="169" spans="1:19" x14ac:dyDescent="0.25">
      <c r="A169" s="4" t="s">
        <v>0</v>
      </c>
      <c r="B169" s="35" t="s">
        <v>45</v>
      </c>
      <c r="C169" s="5"/>
      <c r="D169" s="14"/>
      <c r="E169" s="5">
        <v>21334</v>
      </c>
      <c r="F169" s="5"/>
      <c r="G169" s="5"/>
      <c r="H169" s="141"/>
      <c r="I169" s="28"/>
      <c r="J169" s="5"/>
      <c r="K169" s="28"/>
      <c r="L169" s="5"/>
      <c r="M169" s="5"/>
      <c r="N169" s="5"/>
      <c r="O169" s="5"/>
      <c r="P169" s="5"/>
      <c r="Q169" s="5"/>
      <c r="R169" s="5"/>
      <c r="S169" s="5"/>
    </row>
    <row r="170" spans="1:19" ht="15" customHeight="1" x14ac:dyDescent="0.25">
      <c r="A170" s="4" t="s">
        <v>104</v>
      </c>
      <c r="B170" s="98" t="s">
        <v>35</v>
      </c>
      <c r="C170" s="100" t="s">
        <v>12</v>
      </c>
      <c r="D170" s="102" t="s">
        <v>15</v>
      </c>
      <c r="E170" s="5">
        <v>2000</v>
      </c>
      <c r="F170" s="5"/>
      <c r="G170" s="5"/>
      <c r="H170" s="141"/>
      <c r="I170" s="28"/>
      <c r="J170" s="5"/>
      <c r="K170" s="28"/>
      <c r="L170" s="5"/>
      <c r="M170" s="5"/>
      <c r="N170" s="5"/>
      <c r="O170" s="5"/>
      <c r="P170" s="5"/>
      <c r="Q170" s="5"/>
      <c r="R170" s="5"/>
      <c r="S170" s="5"/>
    </row>
    <row r="171" spans="1:19" x14ac:dyDescent="0.25">
      <c r="A171" s="4" t="s">
        <v>73</v>
      </c>
      <c r="B171" s="105"/>
      <c r="C171" s="104"/>
      <c r="D171" s="148"/>
      <c r="E171" s="5">
        <v>86.48</v>
      </c>
      <c r="F171" s="5"/>
      <c r="G171" s="5"/>
      <c r="H171" s="141"/>
      <c r="I171" s="28"/>
      <c r="J171" s="5"/>
      <c r="K171" s="28"/>
      <c r="L171" s="5"/>
      <c r="M171" s="5"/>
      <c r="N171" s="5"/>
      <c r="O171" s="5"/>
      <c r="P171" s="5"/>
      <c r="Q171" s="5"/>
      <c r="R171" s="5"/>
      <c r="S171" s="5"/>
    </row>
    <row r="172" spans="1:19" x14ac:dyDescent="0.25">
      <c r="A172" s="4" t="s">
        <v>59</v>
      </c>
      <c r="B172" s="99"/>
      <c r="C172" s="101"/>
      <c r="D172" s="103"/>
      <c r="E172" s="5">
        <v>76</v>
      </c>
      <c r="F172" s="5"/>
      <c r="G172" s="5"/>
      <c r="H172" s="141"/>
      <c r="I172" s="28"/>
      <c r="J172" s="5"/>
      <c r="K172" s="28"/>
      <c r="L172" s="5"/>
      <c r="M172" s="5"/>
      <c r="N172" s="5"/>
      <c r="O172" s="5"/>
      <c r="P172" s="5"/>
      <c r="Q172" s="5"/>
      <c r="R172" s="5"/>
      <c r="S172" s="5"/>
    </row>
    <row r="173" spans="1:19" x14ac:dyDescent="0.25">
      <c r="A173" s="4" t="s">
        <v>47</v>
      </c>
      <c r="B173" s="98" t="s">
        <v>36</v>
      </c>
      <c r="C173" s="100" t="s">
        <v>41</v>
      </c>
      <c r="D173" s="146" t="s">
        <v>40</v>
      </c>
      <c r="E173" s="5">
        <v>788</v>
      </c>
      <c r="F173" s="5"/>
      <c r="G173" s="5"/>
      <c r="H173" s="141"/>
      <c r="I173" s="28"/>
      <c r="J173" s="5"/>
      <c r="K173" s="28"/>
      <c r="L173" s="5"/>
      <c r="M173" s="5"/>
      <c r="N173" s="5"/>
      <c r="O173" s="5"/>
      <c r="P173" s="5"/>
      <c r="Q173" s="5"/>
      <c r="R173" s="5"/>
      <c r="S173" s="5"/>
    </row>
    <row r="174" spans="1:19" x14ac:dyDescent="0.25">
      <c r="A174" s="4" t="s">
        <v>48</v>
      </c>
      <c r="B174" s="99"/>
      <c r="C174" s="101"/>
      <c r="D174" s="147"/>
      <c r="E174" s="5">
        <v>1182</v>
      </c>
      <c r="F174" s="5"/>
      <c r="G174" s="5"/>
      <c r="H174" s="141"/>
      <c r="I174" s="28"/>
      <c r="J174" s="5"/>
      <c r="K174" s="28"/>
      <c r="L174" s="5"/>
      <c r="M174" s="5"/>
      <c r="N174" s="5"/>
      <c r="O174" s="5"/>
      <c r="P174" s="5"/>
      <c r="Q174" s="5"/>
      <c r="R174" s="5"/>
      <c r="S174" s="5"/>
    </row>
    <row r="175" spans="1:19" x14ac:dyDescent="0.25">
      <c r="A175" s="151" t="s">
        <v>106</v>
      </c>
      <c r="B175" s="98" t="s">
        <v>93</v>
      </c>
      <c r="C175" s="100" t="s">
        <v>88</v>
      </c>
      <c r="D175" s="16"/>
      <c r="E175" s="100">
        <f>E174+E173</f>
        <v>1970</v>
      </c>
      <c r="F175" s="5"/>
      <c r="G175" s="5"/>
      <c r="H175" s="141"/>
      <c r="I175" s="28"/>
      <c r="J175" s="5"/>
      <c r="K175" s="28"/>
      <c r="L175" s="5"/>
      <c r="M175" s="5"/>
      <c r="N175" s="5"/>
      <c r="O175" s="5"/>
      <c r="P175" s="5"/>
      <c r="Q175" s="5"/>
      <c r="R175" s="5"/>
      <c r="S175" s="5"/>
    </row>
    <row r="176" spans="1:19" x14ac:dyDescent="0.25">
      <c r="A176" s="152"/>
      <c r="B176" s="99"/>
      <c r="C176" s="101"/>
      <c r="D176" s="16"/>
      <c r="E176" s="101"/>
      <c r="F176" s="5"/>
      <c r="G176" s="5"/>
      <c r="H176" s="141"/>
      <c r="I176" s="28"/>
      <c r="J176" s="5"/>
      <c r="K176" s="28"/>
      <c r="L176" s="5"/>
      <c r="M176" s="5"/>
      <c r="N176" s="5"/>
      <c r="O176" s="5"/>
      <c r="P176" s="5"/>
      <c r="Q176" s="5"/>
      <c r="R176" s="5"/>
      <c r="S176" s="5"/>
    </row>
    <row r="177" spans="1:19" x14ac:dyDescent="0.25">
      <c r="A177" s="4" t="s">
        <v>3</v>
      </c>
      <c r="B177" s="35" t="s">
        <v>68</v>
      </c>
      <c r="C177" s="5"/>
      <c r="D177" s="15"/>
      <c r="E177" s="5">
        <v>3.2</v>
      </c>
      <c r="F177" s="5"/>
      <c r="G177" s="5"/>
      <c r="H177" s="141"/>
      <c r="I177" s="28"/>
      <c r="J177" s="5"/>
      <c r="K177" s="28"/>
      <c r="L177" s="5"/>
      <c r="M177" s="5"/>
      <c r="N177" s="5"/>
      <c r="O177" s="5"/>
      <c r="P177" s="5"/>
      <c r="Q177" s="5"/>
      <c r="R177" s="5"/>
      <c r="S177" s="5"/>
    </row>
    <row r="178" spans="1:19" x14ac:dyDescent="0.25">
      <c r="A178" s="4" t="s">
        <v>67</v>
      </c>
      <c r="B178" s="35" t="s">
        <v>5</v>
      </c>
      <c r="C178" s="5" t="s">
        <v>16</v>
      </c>
      <c r="D178" s="15" t="s">
        <v>6</v>
      </c>
      <c r="E178" s="5">
        <v>22</v>
      </c>
      <c r="F178" s="5"/>
      <c r="G178" s="5"/>
      <c r="H178" s="141"/>
      <c r="I178" s="28"/>
      <c r="J178" s="5"/>
      <c r="K178" s="28"/>
      <c r="L178" s="5"/>
      <c r="M178" s="5"/>
      <c r="N178" s="5"/>
      <c r="O178" s="5"/>
      <c r="P178" s="5"/>
      <c r="Q178" s="5"/>
      <c r="R178" s="5"/>
      <c r="S178" s="5"/>
    </row>
    <row r="179" spans="1:19" x14ac:dyDescent="0.25">
      <c r="A179" s="4" t="s">
        <v>17</v>
      </c>
      <c r="B179" s="35" t="s">
        <v>37</v>
      </c>
      <c r="C179" s="5" t="s">
        <v>38</v>
      </c>
      <c r="D179" s="15" t="s">
        <v>39</v>
      </c>
      <c r="E179" s="5">
        <v>2050</v>
      </c>
      <c r="F179" s="5"/>
      <c r="G179" s="5"/>
      <c r="H179" s="141"/>
      <c r="I179" s="28"/>
      <c r="J179" s="5"/>
      <c r="K179" s="28"/>
      <c r="L179" s="5"/>
      <c r="M179" s="5"/>
      <c r="N179" s="5"/>
      <c r="O179" s="5"/>
      <c r="P179" s="5"/>
      <c r="Q179" s="5"/>
      <c r="R179" s="5"/>
      <c r="S179" s="5"/>
    </row>
    <row r="180" spans="1:19" x14ac:dyDescent="0.25">
      <c r="A180" s="4" t="s">
        <v>30</v>
      </c>
      <c r="B180" s="35"/>
      <c r="C180" s="5"/>
      <c r="D180" s="14"/>
      <c r="E180" s="5">
        <v>50</v>
      </c>
      <c r="F180" s="5"/>
      <c r="G180" s="5"/>
      <c r="H180" s="141"/>
      <c r="I180" s="28"/>
      <c r="J180" s="5"/>
      <c r="K180" s="28"/>
      <c r="L180" s="5"/>
      <c r="M180" s="5"/>
      <c r="N180" s="5"/>
      <c r="O180" s="5"/>
      <c r="P180" s="5"/>
      <c r="Q180" s="5"/>
      <c r="R180" s="5"/>
      <c r="S180" s="5"/>
    </row>
    <row r="181" spans="1:19" x14ac:dyDescent="0.25">
      <c r="A181" s="4" t="s">
        <v>61</v>
      </c>
      <c r="B181" s="35" t="s">
        <v>62</v>
      </c>
      <c r="C181" s="104"/>
      <c r="D181" s="14"/>
      <c r="E181" s="5">
        <v>2000</v>
      </c>
      <c r="F181" s="5"/>
      <c r="G181" s="5"/>
      <c r="H181" s="141"/>
      <c r="I181" s="28"/>
      <c r="J181" s="5"/>
      <c r="K181" s="28"/>
      <c r="L181" s="5"/>
      <c r="M181" s="5"/>
      <c r="N181" s="5"/>
      <c r="O181" s="5"/>
      <c r="P181" s="5"/>
      <c r="Q181" s="5"/>
      <c r="R181" s="5"/>
      <c r="S181" s="5"/>
    </row>
    <row r="182" spans="1:19" x14ac:dyDescent="0.25">
      <c r="A182" s="4" t="s">
        <v>108</v>
      </c>
      <c r="B182" s="37" t="s">
        <v>111</v>
      </c>
      <c r="C182" s="101"/>
      <c r="D182" s="14"/>
      <c r="E182" s="5">
        <v>2000</v>
      </c>
      <c r="F182" s="5"/>
      <c r="G182" s="5"/>
      <c r="H182" s="141"/>
      <c r="I182" s="28"/>
      <c r="J182" s="5"/>
      <c r="K182" s="28"/>
      <c r="L182" s="5"/>
      <c r="M182" s="5"/>
      <c r="N182" s="5"/>
      <c r="O182" s="5"/>
      <c r="P182" s="5"/>
      <c r="Q182" s="5"/>
      <c r="R182" s="5"/>
      <c r="S182" s="5"/>
    </row>
    <row r="183" spans="1:19" x14ac:dyDescent="0.25">
      <c r="A183" s="4" t="s">
        <v>65</v>
      </c>
      <c r="B183" s="35" t="s">
        <v>66</v>
      </c>
      <c r="C183" s="5"/>
      <c r="D183" s="14"/>
      <c r="E183" s="5">
        <v>95</v>
      </c>
      <c r="F183" s="5"/>
      <c r="G183" s="5"/>
      <c r="H183" s="141"/>
      <c r="I183" s="28"/>
      <c r="J183" s="5"/>
      <c r="K183" s="28"/>
      <c r="L183" s="5"/>
      <c r="M183" s="5"/>
      <c r="N183" s="5"/>
      <c r="O183" s="5"/>
      <c r="P183" s="5"/>
      <c r="Q183" s="5"/>
      <c r="R183" s="5"/>
      <c r="S183" s="5"/>
    </row>
    <row r="184" spans="1:19" x14ac:dyDescent="0.25">
      <c r="A184" s="4" t="s">
        <v>72</v>
      </c>
      <c r="B184" s="35" t="s">
        <v>43</v>
      </c>
      <c r="C184" s="5"/>
      <c r="D184" s="14"/>
      <c r="E184" s="5">
        <v>67</v>
      </c>
      <c r="F184" s="5"/>
      <c r="G184" s="5"/>
      <c r="H184" s="141"/>
      <c r="I184" s="18"/>
      <c r="J184" s="5"/>
      <c r="K184" s="30"/>
      <c r="L184" s="5"/>
      <c r="M184" s="5"/>
      <c r="N184" s="5"/>
      <c r="O184" s="5"/>
      <c r="P184" s="5"/>
      <c r="Q184" s="5"/>
      <c r="R184" s="5"/>
      <c r="S184" s="5"/>
    </row>
    <row r="186" spans="1:19" x14ac:dyDescent="0.25">
      <c r="A186" s="1" t="s">
        <v>25</v>
      </c>
    </row>
    <row r="187" spans="1:19" s="11" customFormat="1" ht="30" x14ac:dyDescent="0.25">
      <c r="A187" s="9" t="s">
        <v>42</v>
      </c>
      <c r="B187" s="34" t="s">
        <v>2</v>
      </c>
      <c r="C187" s="9" t="s">
        <v>13</v>
      </c>
      <c r="D187" s="13" t="s">
        <v>14</v>
      </c>
      <c r="E187" s="9" t="s">
        <v>4</v>
      </c>
      <c r="F187" s="10" t="s">
        <v>94</v>
      </c>
      <c r="G187" s="10" t="s">
        <v>103</v>
      </c>
      <c r="H187" s="9" t="s">
        <v>34</v>
      </c>
      <c r="I187" s="9" t="s">
        <v>11</v>
      </c>
      <c r="J187" s="10" t="s">
        <v>58</v>
      </c>
      <c r="K187" s="10" t="s">
        <v>86</v>
      </c>
      <c r="L187" s="9" t="s">
        <v>8</v>
      </c>
      <c r="M187" s="9" t="s">
        <v>7</v>
      </c>
      <c r="N187" s="9" t="s">
        <v>31</v>
      </c>
      <c r="O187" s="9" t="s">
        <v>32</v>
      </c>
      <c r="P187" s="9" t="s">
        <v>29</v>
      </c>
      <c r="Q187" s="9" t="s">
        <v>33</v>
      </c>
      <c r="R187" s="9" t="s">
        <v>26</v>
      </c>
      <c r="S187" s="9" t="s">
        <v>27</v>
      </c>
    </row>
    <row r="188" spans="1:19" x14ac:dyDescent="0.25">
      <c r="A188" s="4" t="s">
        <v>0</v>
      </c>
      <c r="B188" s="35" t="s">
        <v>45</v>
      </c>
      <c r="C188" s="5"/>
      <c r="D188" s="14"/>
      <c r="E188" s="5">
        <f>E132*2</f>
        <v>30000</v>
      </c>
      <c r="F188" s="5"/>
      <c r="G188" s="5"/>
      <c r="H188" s="119"/>
      <c r="I188" s="28"/>
      <c r="J188" s="5"/>
      <c r="K188" s="28"/>
      <c r="L188" s="5"/>
      <c r="M188" s="5"/>
      <c r="N188" s="5"/>
      <c r="O188" s="5"/>
      <c r="P188" s="5"/>
      <c r="Q188" s="5"/>
      <c r="R188" s="5"/>
      <c r="S188" s="5"/>
    </row>
    <row r="189" spans="1:19" x14ac:dyDescent="0.25">
      <c r="A189" s="4" t="s">
        <v>105</v>
      </c>
      <c r="B189" s="98" t="s">
        <v>35</v>
      </c>
      <c r="C189" s="100" t="s">
        <v>12</v>
      </c>
      <c r="D189" s="102" t="s">
        <v>15</v>
      </c>
      <c r="E189" s="5">
        <f t="shared" ref="E189:E192" si="12">E133*2</f>
        <v>2000</v>
      </c>
      <c r="F189" s="5"/>
      <c r="G189" s="5"/>
      <c r="H189" s="139"/>
      <c r="I189" s="28"/>
      <c r="J189" s="5"/>
      <c r="K189" s="28"/>
      <c r="L189" s="5"/>
      <c r="M189" s="5"/>
      <c r="N189" s="5"/>
      <c r="O189" s="5"/>
      <c r="P189" s="5"/>
      <c r="Q189" s="5"/>
      <c r="R189" s="5"/>
      <c r="S189" s="5"/>
    </row>
    <row r="190" spans="1:19" x14ac:dyDescent="0.25">
      <c r="A190" s="4" t="s">
        <v>59</v>
      </c>
      <c r="B190" s="99"/>
      <c r="C190" s="101"/>
      <c r="D190" s="103"/>
      <c r="E190" s="5">
        <f t="shared" si="12"/>
        <v>236</v>
      </c>
      <c r="F190" s="5"/>
      <c r="G190" s="5"/>
      <c r="H190" s="139"/>
      <c r="I190" s="28"/>
      <c r="J190" s="5"/>
      <c r="K190" s="28"/>
      <c r="L190" s="5"/>
      <c r="M190" s="5"/>
      <c r="N190" s="5"/>
      <c r="O190" s="5"/>
      <c r="P190" s="5"/>
      <c r="Q190" s="5"/>
      <c r="R190" s="5"/>
      <c r="S190" s="5"/>
    </row>
    <row r="191" spans="1:19" x14ac:dyDescent="0.25">
      <c r="A191" s="4" t="s">
        <v>47</v>
      </c>
      <c r="B191" s="98" t="s">
        <v>36</v>
      </c>
      <c r="C191" s="100" t="s">
        <v>41</v>
      </c>
      <c r="D191" s="146" t="s">
        <v>40</v>
      </c>
      <c r="E191" s="5">
        <f t="shared" si="12"/>
        <v>1406</v>
      </c>
      <c r="F191" s="5"/>
      <c r="G191" s="5"/>
      <c r="H191" s="139"/>
      <c r="I191" s="28"/>
      <c r="J191" s="5"/>
      <c r="K191" s="28"/>
      <c r="L191" s="5"/>
      <c r="M191" s="5"/>
      <c r="N191" s="5"/>
      <c r="O191" s="5"/>
      <c r="P191" s="5"/>
      <c r="Q191" s="5"/>
      <c r="R191" s="5"/>
      <c r="S191" s="5"/>
    </row>
    <row r="192" spans="1:19" x14ac:dyDescent="0.25">
      <c r="A192" s="4" t="s">
        <v>48</v>
      </c>
      <c r="B192" s="99"/>
      <c r="C192" s="101"/>
      <c r="D192" s="147"/>
      <c r="E192" s="5">
        <f t="shared" si="12"/>
        <v>2109</v>
      </c>
      <c r="F192" s="5"/>
      <c r="G192" s="5"/>
      <c r="H192" s="139"/>
      <c r="I192" s="28"/>
      <c r="J192" s="5"/>
      <c r="K192" s="28"/>
      <c r="L192" s="5"/>
      <c r="M192" s="5"/>
      <c r="N192" s="5"/>
      <c r="O192" s="5"/>
      <c r="P192" s="5"/>
      <c r="Q192" s="5"/>
      <c r="R192" s="5"/>
      <c r="S192" s="5"/>
    </row>
    <row r="193" spans="1:19" x14ac:dyDescent="0.25">
      <c r="A193" s="4" t="s">
        <v>47</v>
      </c>
      <c r="B193" s="98" t="s">
        <v>93</v>
      </c>
      <c r="C193" s="100" t="s">
        <v>88</v>
      </c>
      <c r="D193" s="16"/>
      <c r="E193" s="100">
        <f>E192+E191</f>
        <v>3515</v>
      </c>
      <c r="F193" s="5"/>
      <c r="G193" s="5"/>
      <c r="H193" s="139"/>
      <c r="I193" s="28"/>
      <c r="J193" s="5"/>
      <c r="K193" s="28"/>
      <c r="L193" s="5"/>
      <c r="M193" s="5"/>
      <c r="N193" s="5"/>
      <c r="O193" s="5"/>
      <c r="P193" s="5"/>
      <c r="Q193" s="5"/>
      <c r="R193" s="5"/>
      <c r="S193" s="5"/>
    </row>
    <row r="194" spans="1:19" x14ac:dyDescent="0.25">
      <c r="A194" s="4" t="s">
        <v>48</v>
      </c>
      <c r="B194" s="99"/>
      <c r="C194" s="101"/>
      <c r="D194" s="16"/>
      <c r="E194" s="101"/>
      <c r="F194" s="5"/>
      <c r="G194" s="5"/>
      <c r="H194" s="139"/>
      <c r="I194" s="28"/>
      <c r="J194" s="5"/>
      <c r="K194" s="28"/>
      <c r="L194" s="5"/>
      <c r="M194" s="5"/>
      <c r="N194" s="5"/>
      <c r="O194" s="5"/>
      <c r="P194" s="5"/>
      <c r="Q194" s="5"/>
      <c r="R194" s="5"/>
      <c r="S194" s="5"/>
    </row>
    <row r="195" spans="1:19" x14ac:dyDescent="0.25">
      <c r="A195" s="4" t="s">
        <v>3</v>
      </c>
      <c r="B195" s="35" t="s">
        <v>68</v>
      </c>
      <c r="C195" s="5"/>
      <c r="D195" s="15"/>
      <c r="E195" s="5">
        <f>E139*2</f>
        <v>4</v>
      </c>
      <c r="F195" s="5"/>
      <c r="G195" s="5"/>
      <c r="H195" s="139"/>
      <c r="I195" s="28"/>
      <c r="J195" s="5"/>
      <c r="K195" s="28"/>
      <c r="L195" s="5"/>
      <c r="M195" s="5"/>
      <c r="N195" s="5"/>
      <c r="O195" s="5"/>
      <c r="P195" s="5"/>
      <c r="Q195" s="5"/>
      <c r="R195" s="5"/>
      <c r="S195" s="5"/>
    </row>
    <row r="196" spans="1:19" x14ac:dyDescent="0.25">
      <c r="A196" s="4" t="s">
        <v>67</v>
      </c>
      <c r="B196" s="35" t="s">
        <v>5</v>
      </c>
      <c r="C196" s="5" t="s">
        <v>16</v>
      </c>
      <c r="D196" s="15" t="s">
        <v>6</v>
      </c>
      <c r="E196" s="5">
        <f t="shared" ref="E196:E201" si="13">E140*2</f>
        <v>50</v>
      </c>
      <c r="F196" s="5"/>
      <c r="G196" s="5"/>
      <c r="H196" s="139"/>
      <c r="I196" s="28"/>
      <c r="J196" s="5"/>
      <c r="K196" s="28"/>
      <c r="L196" s="5"/>
      <c r="M196" s="5"/>
      <c r="N196" s="5"/>
      <c r="O196" s="5"/>
      <c r="P196" s="5"/>
      <c r="Q196" s="5"/>
      <c r="R196" s="5"/>
      <c r="S196" s="5"/>
    </row>
    <row r="197" spans="1:19" x14ac:dyDescent="0.25">
      <c r="A197" s="4" t="s">
        <v>17</v>
      </c>
      <c r="B197" s="35" t="s">
        <v>37</v>
      </c>
      <c r="C197" s="5" t="s">
        <v>38</v>
      </c>
      <c r="D197" s="15" t="s">
        <v>39</v>
      </c>
      <c r="E197" s="5">
        <f t="shared" si="13"/>
        <v>2050</v>
      </c>
      <c r="F197" s="5"/>
      <c r="G197" s="5"/>
      <c r="H197" s="139"/>
      <c r="I197" s="28"/>
      <c r="J197" s="5"/>
      <c r="K197" s="28"/>
      <c r="L197" s="5"/>
      <c r="M197" s="5"/>
      <c r="N197" s="5"/>
      <c r="O197" s="5"/>
      <c r="P197" s="5"/>
      <c r="Q197" s="5"/>
      <c r="R197" s="5"/>
      <c r="S197" s="5"/>
    </row>
    <row r="198" spans="1:19" x14ac:dyDescent="0.25">
      <c r="A198" s="4" t="s">
        <v>30</v>
      </c>
      <c r="B198" s="35"/>
      <c r="C198" s="5"/>
      <c r="D198" s="14"/>
      <c r="E198" s="5">
        <f t="shared" si="13"/>
        <v>50</v>
      </c>
      <c r="F198" s="5"/>
      <c r="G198" s="5"/>
      <c r="H198" s="139"/>
      <c r="I198" s="28"/>
      <c r="J198" s="5"/>
      <c r="K198" s="28"/>
      <c r="L198" s="5"/>
      <c r="M198" s="5"/>
      <c r="N198" s="5"/>
      <c r="O198" s="5"/>
      <c r="P198" s="5"/>
      <c r="Q198" s="5"/>
      <c r="R198" s="5"/>
      <c r="S198" s="5"/>
    </row>
    <row r="199" spans="1:19" x14ac:dyDescent="0.25">
      <c r="A199" s="4" t="s">
        <v>110</v>
      </c>
      <c r="B199" s="98" t="s">
        <v>111</v>
      </c>
      <c r="C199" s="100" t="s">
        <v>63</v>
      </c>
      <c r="D199" s="14"/>
      <c r="E199" s="5">
        <f t="shared" si="13"/>
        <v>2000</v>
      </c>
      <c r="F199" s="5"/>
      <c r="G199" s="5"/>
      <c r="H199" s="139"/>
      <c r="I199" s="28"/>
      <c r="J199" s="5"/>
      <c r="K199" s="28"/>
      <c r="L199" s="5"/>
      <c r="M199" s="5"/>
      <c r="N199" s="5"/>
      <c r="O199" s="5"/>
      <c r="P199" s="5"/>
      <c r="Q199" s="5"/>
      <c r="R199" s="5"/>
      <c r="S199" s="5"/>
    </row>
    <row r="200" spans="1:19" x14ac:dyDescent="0.25">
      <c r="A200" s="4" t="s">
        <v>109</v>
      </c>
      <c r="B200" s="99"/>
      <c r="C200" s="101"/>
      <c r="D200" s="14"/>
      <c r="E200" s="5">
        <f t="shared" si="13"/>
        <v>2000</v>
      </c>
      <c r="F200" s="5"/>
      <c r="G200" s="5"/>
      <c r="H200" s="139"/>
      <c r="I200" s="28"/>
      <c r="J200" s="5"/>
      <c r="K200" s="28"/>
      <c r="L200" s="5"/>
      <c r="M200" s="5"/>
      <c r="N200" s="5"/>
      <c r="O200" s="5"/>
      <c r="P200" s="5"/>
      <c r="Q200" s="5"/>
      <c r="R200" s="5"/>
      <c r="S200" s="5"/>
    </row>
    <row r="201" spans="1:19" x14ac:dyDescent="0.25">
      <c r="A201" s="4" t="s">
        <v>65</v>
      </c>
      <c r="B201" s="35" t="s">
        <v>66</v>
      </c>
      <c r="C201" s="5"/>
      <c r="D201" s="14"/>
      <c r="E201" s="5">
        <f t="shared" si="13"/>
        <v>190</v>
      </c>
      <c r="F201" s="5"/>
      <c r="G201" s="5"/>
      <c r="H201" s="139"/>
      <c r="I201" s="28"/>
      <c r="J201" s="5"/>
      <c r="K201" s="28"/>
      <c r="L201" s="5"/>
      <c r="M201" s="5"/>
      <c r="N201" s="5"/>
      <c r="O201" s="5"/>
      <c r="P201" s="5"/>
      <c r="Q201" s="5"/>
      <c r="R201" s="5"/>
      <c r="S201" s="5"/>
    </row>
    <row r="202" spans="1:19" x14ac:dyDescent="0.25">
      <c r="A202" s="4" t="s">
        <v>72</v>
      </c>
      <c r="B202" s="35" t="s">
        <v>43</v>
      </c>
      <c r="C202" s="5"/>
      <c r="D202" s="14"/>
      <c r="E202" s="5">
        <v>67</v>
      </c>
      <c r="F202" s="5"/>
      <c r="G202" s="5"/>
      <c r="H202" s="140"/>
      <c r="I202" s="28"/>
      <c r="J202" s="5"/>
      <c r="K202" s="28"/>
      <c r="L202" s="5"/>
      <c r="M202" s="5"/>
      <c r="N202" s="5"/>
      <c r="O202" s="5"/>
      <c r="P202" s="5"/>
      <c r="Q202" s="5"/>
      <c r="R202" s="5"/>
      <c r="S202" s="5"/>
    </row>
    <row r="204" spans="1:19" x14ac:dyDescent="0.25">
      <c r="A204" s="1" t="s">
        <v>28</v>
      </c>
    </row>
    <row r="205" spans="1:19" s="11" customFormat="1" ht="30" x14ac:dyDescent="0.25">
      <c r="A205" s="9" t="s">
        <v>42</v>
      </c>
      <c r="B205" s="34" t="s">
        <v>2</v>
      </c>
      <c r="C205" s="9" t="s">
        <v>13</v>
      </c>
      <c r="D205" s="13" t="s">
        <v>14</v>
      </c>
      <c r="E205" s="9" t="s">
        <v>4</v>
      </c>
      <c r="F205" s="10" t="s">
        <v>94</v>
      </c>
      <c r="G205" s="10" t="s">
        <v>103</v>
      </c>
      <c r="H205" s="9" t="s">
        <v>34</v>
      </c>
      <c r="I205" s="9" t="s">
        <v>11</v>
      </c>
      <c r="J205" s="10" t="s">
        <v>58</v>
      </c>
      <c r="K205" s="10" t="s">
        <v>86</v>
      </c>
      <c r="L205" s="9" t="s">
        <v>8</v>
      </c>
      <c r="M205" s="9" t="s">
        <v>7</v>
      </c>
      <c r="N205" s="9" t="s">
        <v>31</v>
      </c>
      <c r="O205" s="9" t="s">
        <v>32</v>
      </c>
      <c r="P205" s="9" t="s">
        <v>29</v>
      </c>
      <c r="Q205" s="9" t="s">
        <v>33</v>
      </c>
      <c r="R205" s="9" t="s">
        <v>26</v>
      </c>
      <c r="S205" s="9" t="s">
        <v>27</v>
      </c>
    </row>
    <row r="206" spans="1:19" x14ac:dyDescent="0.25">
      <c r="A206" s="4" t="s">
        <v>0</v>
      </c>
      <c r="B206" s="35" t="s">
        <v>45</v>
      </c>
      <c r="C206" s="5"/>
      <c r="D206" s="14"/>
      <c r="E206" s="5">
        <v>15000</v>
      </c>
      <c r="F206" s="5"/>
      <c r="G206" s="5"/>
      <c r="H206" s="119"/>
      <c r="I206" s="28"/>
      <c r="J206" s="5"/>
      <c r="K206" s="28"/>
      <c r="L206" s="5"/>
      <c r="M206" s="5"/>
      <c r="N206" s="5"/>
      <c r="O206" s="5"/>
      <c r="P206" s="5"/>
      <c r="Q206" s="5"/>
      <c r="R206" s="5"/>
      <c r="S206" s="5"/>
    </row>
    <row r="207" spans="1:19" x14ac:dyDescent="0.25">
      <c r="A207" s="4" t="s">
        <v>105</v>
      </c>
      <c r="B207" s="98" t="s">
        <v>35</v>
      </c>
      <c r="C207" s="100" t="s">
        <v>12</v>
      </c>
      <c r="D207" s="102" t="s">
        <v>15</v>
      </c>
      <c r="E207" s="5">
        <v>1000</v>
      </c>
      <c r="F207" s="5"/>
      <c r="G207" s="5"/>
      <c r="H207" s="139"/>
      <c r="I207" s="28"/>
      <c r="J207" s="5"/>
      <c r="K207" s="28"/>
      <c r="L207" s="5"/>
      <c r="M207" s="5"/>
      <c r="N207" s="5"/>
      <c r="O207" s="5"/>
      <c r="P207" s="5"/>
      <c r="Q207" s="5"/>
      <c r="R207" s="5"/>
      <c r="S207" s="5"/>
    </row>
    <row r="208" spans="1:19" x14ac:dyDescent="0.25">
      <c r="A208" s="4" t="s">
        <v>59</v>
      </c>
      <c r="B208" s="99"/>
      <c r="C208" s="101"/>
      <c r="D208" s="103"/>
      <c r="E208" s="5">
        <v>118</v>
      </c>
      <c r="F208" s="5"/>
      <c r="G208" s="5"/>
      <c r="H208" s="139"/>
      <c r="I208" s="28"/>
      <c r="J208" s="5"/>
      <c r="K208" s="28"/>
      <c r="L208" s="5"/>
      <c r="M208" s="5"/>
      <c r="N208" s="5"/>
      <c r="O208" s="5"/>
      <c r="P208" s="5"/>
      <c r="Q208" s="5"/>
      <c r="R208" s="5"/>
      <c r="S208" s="5"/>
    </row>
    <row r="209" spans="1:19" x14ac:dyDescent="0.25">
      <c r="A209" s="4" t="s">
        <v>47</v>
      </c>
      <c r="B209" s="98" t="s">
        <v>36</v>
      </c>
      <c r="C209" s="100" t="s">
        <v>41</v>
      </c>
      <c r="D209" s="146" t="s">
        <v>40</v>
      </c>
      <c r="E209" s="5">
        <v>703</v>
      </c>
      <c r="F209" s="5"/>
      <c r="G209" s="5"/>
      <c r="H209" s="139"/>
      <c r="I209" s="28"/>
      <c r="J209" s="5"/>
      <c r="K209" s="28"/>
      <c r="L209" s="5"/>
      <c r="M209" s="5"/>
      <c r="N209" s="5"/>
      <c r="O209" s="5"/>
      <c r="P209" s="5"/>
      <c r="Q209" s="5"/>
      <c r="R209" s="5"/>
      <c r="S209" s="5"/>
    </row>
    <row r="210" spans="1:19" x14ac:dyDescent="0.25">
      <c r="A210" s="4" t="s">
        <v>48</v>
      </c>
      <c r="B210" s="99"/>
      <c r="C210" s="101"/>
      <c r="D210" s="147"/>
      <c r="E210" s="5">
        <v>1054.5</v>
      </c>
      <c r="F210" s="5"/>
      <c r="G210" s="5"/>
      <c r="H210" s="139"/>
      <c r="I210" s="28"/>
      <c r="J210" s="5"/>
      <c r="K210" s="28"/>
      <c r="L210" s="5"/>
      <c r="M210" s="5"/>
      <c r="N210" s="5"/>
      <c r="O210" s="5"/>
      <c r="P210" s="5"/>
      <c r="Q210" s="5"/>
      <c r="R210" s="5"/>
      <c r="S210" s="5"/>
    </row>
    <row r="211" spans="1:19" x14ac:dyDescent="0.25">
      <c r="A211" s="4" t="s">
        <v>47</v>
      </c>
      <c r="B211" s="98" t="s">
        <v>93</v>
      </c>
      <c r="C211" s="100" t="s">
        <v>88</v>
      </c>
      <c r="D211" s="16"/>
      <c r="E211" s="100">
        <f>E210+E209</f>
        <v>1757.5</v>
      </c>
      <c r="F211" s="26"/>
      <c r="G211" s="26"/>
      <c r="H211" s="139"/>
      <c r="I211" s="28"/>
      <c r="J211" s="5"/>
      <c r="K211" s="28"/>
      <c r="L211" s="5"/>
      <c r="M211" s="5"/>
      <c r="N211" s="5"/>
      <c r="O211" s="5"/>
      <c r="P211" s="5"/>
      <c r="Q211" s="5"/>
      <c r="R211" s="5"/>
      <c r="S211" s="5"/>
    </row>
    <row r="212" spans="1:19" x14ac:dyDescent="0.25">
      <c r="A212" s="4" t="s">
        <v>48</v>
      </c>
      <c r="B212" s="99"/>
      <c r="C212" s="101"/>
      <c r="D212" s="16"/>
      <c r="E212" s="101"/>
      <c r="F212" s="26"/>
      <c r="G212" s="26"/>
      <c r="H212" s="139"/>
      <c r="I212" s="28"/>
      <c r="J212" s="5"/>
      <c r="K212" s="28"/>
      <c r="L212" s="5"/>
      <c r="M212" s="5"/>
      <c r="N212" s="5"/>
      <c r="O212" s="5"/>
      <c r="P212" s="5"/>
      <c r="Q212" s="5"/>
      <c r="R212" s="5"/>
      <c r="S212" s="5"/>
    </row>
    <row r="213" spans="1:19" x14ac:dyDescent="0.25">
      <c r="A213" s="4" t="s">
        <v>3</v>
      </c>
      <c r="B213" s="35" t="s">
        <v>68</v>
      </c>
      <c r="C213" s="5"/>
      <c r="D213" s="15"/>
      <c r="E213" s="5">
        <v>2</v>
      </c>
      <c r="F213" s="5"/>
      <c r="G213" s="5"/>
      <c r="H213" s="139"/>
      <c r="I213" s="28"/>
      <c r="J213" s="5"/>
      <c r="K213" s="28"/>
      <c r="L213" s="5"/>
      <c r="M213" s="5"/>
      <c r="N213" s="5"/>
      <c r="O213" s="5"/>
      <c r="P213" s="5"/>
      <c r="Q213" s="5"/>
      <c r="R213" s="5"/>
      <c r="S213" s="5"/>
    </row>
    <row r="214" spans="1:19" x14ac:dyDescent="0.25">
      <c r="A214" s="4" t="s">
        <v>67</v>
      </c>
      <c r="B214" s="35" t="s">
        <v>5</v>
      </c>
      <c r="C214" s="5" t="s">
        <v>16</v>
      </c>
      <c r="D214" s="15" t="s">
        <v>6</v>
      </c>
      <c r="E214" s="5">
        <v>25</v>
      </c>
      <c r="F214" s="5"/>
      <c r="G214" s="5"/>
      <c r="H214" s="139"/>
      <c r="I214" s="28"/>
      <c r="J214" s="5"/>
      <c r="K214" s="28"/>
      <c r="L214" s="5"/>
      <c r="M214" s="5"/>
      <c r="N214" s="5"/>
      <c r="O214" s="5"/>
      <c r="P214" s="5"/>
      <c r="Q214" s="5"/>
      <c r="R214" s="5"/>
      <c r="S214" s="5"/>
    </row>
    <row r="215" spans="1:19" x14ac:dyDescent="0.25">
      <c r="A215" s="4" t="s">
        <v>17</v>
      </c>
      <c r="B215" s="35" t="s">
        <v>37</v>
      </c>
      <c r="C215" s="5" t="s">
        <v>38</v>
      </c>
      <c r="D215" s="15" t="s">
        <v>39</v>
      </c>
      <c r="E215" s="5">
        <v>1025</v>
      </c>
      <c r="F215" s="5"/>
      <c r="G215" s="5"/>
      <c r="H215" s="139"/>
      <c r="I215" s="28"/>
      <c r="J215" s="5"/>
      <c r="K215" s="28"/>
      <c r="L215" s="5"/>
      <c r="M215" s="5"/>
      <c r="N215" s="5"/>
      <c r="O215" s="5"/>
      <c r="P215" s="5"/>
      <c r="Q215" s="5"/>
      <c r="R215" s="5"/>
      <c r="S215" s="5"/>
    </row>
    <row r="216" spans="1:19" x14ac:dyDescent="0.25">
      <c r="A216" s="4" t="s">
        <v>30</v>
      </c>
      <c r="B216" s="35"/>
      <c r="C216" s="5"/>
      <c r="D216" s="14"/>
      <c r="E216" s="5">
        <v>25</v>
      </c>
      <c r="F216" s="5"/>
      <c r="G216" s="5"/>
      <c r="H216" s="139"/>
      <c r="I216" s="28"/>
      <c r="J216" s="5"/>
      <c r="K216" s="28"/>
      <c r="L216" s="5"/>
      <c r="M216" s="5"/>
      <c r="N216" s="5"/>
      <c r="O216" s="5"/>
      <c r="P216" s="5"/>
      <c r="Q216" s="5"/>
      <c r="R216" s="5"/>
      <c r="S216" s="5"/>
    </row>
    <row r="217" spans="1:19" x14ac:dyDescent="0.25">
      <c r="A217" s="4" t="s">
        <v>110</v>
      </c>
      <c r="B217" s="98" t="s">
        <v>111</v>
      </c>
      <c r="C217" s="100" t="s">
        <v>63</v>
      </c>
      <c r="D217" s="14"/>
      <c r="E217" s="5">
        <v>1000</v>
      </c>
      <c r="F217" s="5"/>
      <c r="G217" s="5"/>
      <c r="H217" s="139"/>
      <c r="I217" s="28"/>
      <c r="J217" s="5"/>
      <c r="K217" s="28"/>
      <c r="L217" s="5"/>
      <c r="M217" s="5"/>
      <c r="N217" s="5"/>
      <c r="O217" s="5"/>
      <c r="P217" s="5"/>
      <c r="Q217" s="5"/>
      <c r="R217" s="5"/>
      <c r="S217" s="5"/>
    </row>
    <row r="218" spans="1:19" x14ac:dyDescent="0.25">
      <c r="A218" s="4" t="s">
        <v>109</v>
      </c>
      <c r="B218" s="99"/>
      <c r="C218" s="101"/>
      <c r="D218" s="14"/>
      <c r="E218" s="5">
        <v>1000</v>
      </c>
      <c r="F218" s="5"/>
      <c r="G218" s="5"/>
      <c r="H218" s="139"/>
      <c r="I218" s="28"/>
      <c r="J218" s="5"/>
      <c r="K218" s="28"/>
      <c r="L218" s="5"/>
      <c r="M218" s="5"/>
      <c r="N218" s="5"/>
      <c r="O218" s="5"/>
      <c r="P218" s="5"/>
      <c r="Q218" s="5"/>
      <c r="R218" s="5"/>
      <c r="S218" s="5"/>
    </row>
    <row r="219" spans="1:19" x14ac:dyDescent="0.25">
      <c r="A219" s="4" t="s">
        <v>65</v>
      </c>
      <c r="B219" s="35" t="s">
        <v>66</v>
      </c>
      <c r="C219" s="5"/>
      <c r="D219" s="14"/>
      <c r="E219" s="5">
        <v>95</v>
      </c>
      <c r="F219" s="5"/>
      <c r="G219" s="5"/>
      <c r="H219" s="139"/>
      <c r="I219" s="28"/>
      <c r="J219" s="5"/>
      <c r="K219" s="28"/>
      <c r="L219" s="5"/>
      <c r="M219" s="5"/>
      <c r="N219" s="5"/>
      <c r="O219" s="5"/>
      <c r="P219" s="5"/>
      <c r="Q219" s="5"/>
      <c r="R219" s="5"/>
      <c r="S219" s="5"/>
    </row>
    <row r="220" spans="1:19" x14ac:dyDescent="0.25">
      <c r="A220" s="4" t="s">
        <v>72</v>
      </c>
      <c r="B220" s="35" t="s">
        <v>43</v>
      </c>
      <c r="C220" s="5"/>
      <c r="D220" s="14"/>
      <c r="E220" s="5">
        <v>34</v>
      </c>
      <c r="F220" s="5"/>
      <c r="G220" s="5"/>
      <c r="H220" s="140"/>
      <c r="I220" s="28"/>
      <c r="J220" s="5"/>
      <c r="K220" s="28"/>
      <c r="L220" s="5"/>
      <c r="M220" s="5"/>
      <c r="N220" s="5"/>
      <c r="O220" s="5"/>
      <c r="P220" s="5"/>
      <c r="Q220" s="5"/>
      <c r="R220" s="5"/>
      <c r="S220" s="5"/>
    </row>
  </sheetData>
  <mergeCells count="260">
    <mergeCell ref="H188:H202"/>
    <mergeCell ref="B189:B190"/>
    <mergeCell ref="C189:C190"/>
    <mergeCell ref="D189:D190"/>
    <mergeCell ref="B191:B192"/>
    <mergeCell ref="C191:C192"/>
    <mergeCell ref="D191:D192"/>
    <mergeCell ref="B217:B218"/>
    <mergeCell ref="C217:C218"/>
    <mergeCell ref="H206:H220"/>
    <mergeCell ref="B207:B208"/>
    <mergeCell ref="C207:C208"/>
    <mergeCell ref="D207:D208"/>
    <mergeCell ref="B209:B210"/>
    <mergeCell ref="C209:C210"/>
    <mergeCell ref="D209:D210"/>
    <mergeCell ref="B211:B212"/>
    <mergeCell ref="C211:C212"/>
    <mergeCell ref="E211:E212"/>
    <mergeCell ref="B193:B194"/>
    <mergeCell ref="C193:C194"/>
    <mergeCell ref="E193:E194"/>
    <mergeCell ref="B199:B200"/>
    <mergeCell ref="C199:C200"/>
    <mergeCell ref="H169:H184"/>
    <mergeCell ref="B170:B172"/>
    <mergeCell ref="C170:C172"/>
    <mergeCell ref="D170:D172"/>
    <mergeCell ref="B173:B174"/>
    <mergeCell ref="C173:C174"/>
    <mergeCell ref="D173:D174"/>
    <mergeCell ref="H150:H165"/>
    <mergeCell ref="A175:A176"/>
    <mergeCell ref="B175:B176"/>
    <mergeCell ref="C175:C176"/>
    <mergeCell ref="E175:E176"/>
    <mergeCell ref="C181:C182"/>
    <mergeCell ref="B154:B155"/>
    <mergeCell ref="C154:C155"/>
    <mergeCell ref="D154:D155"/>
    <mergeCell ref="A156:A157"/>
    <mergeCell ref="B156:B157"/>
    <mergeCell ref="C156:C157"/>
    <mergeCell ref="E156:E157"/>
    <mergeCell ref="C162:C163"/>
    <mergeCell ref="A100:A101"/>
    <mergeCell ref="B100:B101"/>
    <mergeCell ref="C100:C101"/>
    <mergeCell ref="B137:B138"/>
    <mergeCell ref="C137:C138"/>
    <mergeCell ref="E137:E138"/>
    <mergeCell ref="B143:B144"/>
    <mergeCell ref="C143:C144"/>
    <mergeCell ref="B151:B153"/>
    <mergeCell ref="C151:C153"/>
    <mergeCell ref="D151:D153"/>
    <mergeCell ref="A119:A120"/>
    <mergeCell ref="B119:B120"/>
    <mergeCell ref="C119:C120"/>
    <mergeCell ref="H132:H146"/>
    <mergeCell ref="B133:B134"/>
    <mergeCell ref="C133:C134"/>
    <mergeCell ref="D133:D134"/>
    <mergeCell ref="B135:B136"/>
    <mergeCell ref="C135:C136"/>
    <mergeCell ref="D135:D136"/>
    <mergeCell ref="H113:H128"/>
    <mergeCell ref="B114:B116"/>
    <mergeCell ref="C114:C116"/>
    <mergeCell ref="D114:D116"/>
    <mergeCell ref="B117:B118"/>
    <mergeCell ref="C117:C118"/>
    <mergeCell ref="D117:D118"/>
    <mergeCell ref="J100:J101"/>
    <mergeCell ref="K100:K101"/>
    <mergeCell ref="O95:O97"/>
    <mergeCell ref="P95:P97"/>
    <mergeCell ref="L100:L101"/>
    <mergeCell ref="O100:O101"/>
    <mergeCell ref="K87:K88"/>
    <mergeCell ref="I106:Q106"/>
    <mergeCell ref="N98:N99"/>
    <mergeCell ref="O98:O99"/>
    <mergeCell ref="Q98:Q99"/>
    <mergeCell ref="Q79:Q80"/>
    <mergeCell ref="Q95:Q97"/>
    <mergeCell ref="B98:B99"/>
    <mergeCell ref="C98:C99"/>
    <mergeCell ref="D98:D99"/>
    <mergeCell ref="I98:I99"/>
    <mergeCell ref="J98:J99"/>
    <mergeCell ref="K98:K99"/>
    <mergeCell ref="L98:L99"/>
    <mergeCell ref="H94:H109"/>
    <mergeCell ref="I94:Q94"/>
    <mergeCell ref="B95:B97"/>
    <mergeCell ref="C95:C97"/>
    <mergeCell ref="D95:D97"/>
    <mergeCell ref="I95:I97"/>
    <mergeCell ref="J95:J97"/>
    <mergeCell ref="K95:K97"/>
    <mergeCell ref="L95:L97"/>
    <mergeCell ref="N95:N97"/>
    <mergeCell ref="I102:Q102"/>
    <mergeCell ref="I105:Q105"/>
    <mergeCell ref="C106:C107"/>
    <mergeCell ref="E100:E101"/>
    <mergeCell ref="I100:I101"/>
    <mergeCell ref="A81:A82"/>
    <mergeCell ref="B81:B82"/>
    <mergeCell ref="C81:C82"/>
    <mergeCell ref="E81:E82"/>
    <mergeCell ref="I81:I82"/>
    <mergeCell ref="J81:J82"/>
    <mergeCell ref="K81:K82"/>
    <mergeCell ref="L81:L82"/>
    <mergeCell ref="O77:O78"/>
    <mergeCell ref="O81:O82"/>
    <mergeCell ref="O79:O80"/>
    <mergeCell ref="P77:P78"/>
    <mergeCell ref="B79:B80"/>
    <mergeCell ref="C79:C80"/>
    <mergeCell ref="D79:D80"/>
    <mergeCell ref="I79:I80"/>
    <mergeCell ref="J79:J80"/>
    <mergeCell ref="K79:K80"/>
    <mergeCell ref="L79:L80"/>
    <mergeCell ref="N79:N80"/>
    <mergeCell ref="H76:H90"/>
    <mergeCell ref="I76:Q76"/>
    <mergeCell ref="B77:B78"/>
    <mergeCell ref="C77:C78"/>
    <mergeCell ref="D77:D78"/>
    <mergeCell ref="I77:I78"/>
    <mergeCell ref="J77:J78"/>
    <mergeCell ref="K77:K78"/>
    <mergeCell ref="L77:L78"/>
    <mergeCell ref="N77:N78"/>
    <mergeCell ref="I83:Q83"/>
    <mergeCell ref="I86:Q86"/>
    <mergeCell ref="B87:B88"/>
    <mergeCell ref="C87:C88"/>
    <mergeCell ref="I87:I88"/>
    <mergeCell ref="P58:P60"/>
    <mergeCell ref="K63:K64"/>
    <mergeCell ref="L63:L64"/>
    <mergeCell ref="O63:O64"/>
    <mergeCell ref="I65:Q65"/>
    <mergeCell ref="I68:Q68"/>
    <mergeCell ref="C69:C70"/>
    <mergeCell ref="I69:Q69"/>
    <mergeCell ref="N61:N62"/>
    <mergeCell ref="O61:O62"/>
    <mergeCell ref="Q61:Q62"/>
    <mergeCell ref="N58:N60"/>
    <mergeCell ref="A63:A64"/>
    <mergeCell ref="B63:B64"/>
    <mergeCell ref="C63:C64"/>
    <mergeCell ref="D63:D64"/>
    <mergeCell ref="E63:E64"/>
    <mergeCell ref="I63:I64"/>
    <mergeCell ref="J63:J64"/>
    <mergeCell ref="O58:O60"/>
    <mergeCell ref="I46:Q46"/>
    <mergeCell ref="I49:Q49"/>
    <mergeCell ref="B50:B51"/>
    <mergeCell ref="C50:C51"/>
    <mergeCell ref="I50:I51"/>
    <mergeCell ref="J50:J51"/>
    <mergeCell ref="K50:K51"/>
    <mergeCell ref="Q58:Q60"/>
    <mergeCell ref="B61:B62"/>
    <mergeCell ref="C61:C62"/>
    <mergeCell ref="D61:D62"/>
    <mergeCell ref="I61:I62"/>
    <mergeCell ref="J61:J62"/>
    <mergeCell ref="K61:K62"/>
    <mergeCell ref="L61:L62"/>
    <mergeCell ref="H57:H72"/>
    <mergeCell ref="I57:Q57"/>
    <mergeCell ref="B58:B60"/>
    <mergeCell ref="C58:C60"/>
    <mergeCell ref="D58:D60"/>
    <mergeCell ref="I58:I60"/>
    <mergeCell ref="J58:J60"/>
    <mergeCell ref="K58:K60"/>
    <mergeCell ref="L58:L60"/>
    <mergeCell ref="A44:A45"/>
    <mergeCell ref="B44:B45"/>
    <mergeCell ref="C44:C45"/>
    <mergeCell ref="D44:D45"/>
    <mergeCell ref="E44:E45"/>
    <mergeCell ref="I44:I45"/>
    <mergeCell ref="J44:J45"/>
    <mergeCell ref="K44:K45"/>
    <mergeCell ref="L44:L45"/>
    <mergeCell ref="H39:H53"/>
    <mergeCell ref="I39:Q39"/>
    <mergeCell ref="B40:B41"/>
    <mergeCell ref="C40:C41"/>
    <mergeCell ref="D40:D41"/>
    <mergeCell ref="P40:P41"/>
    <mergeCell ref="Q40:Q41"/>
    <mergeCell ref="B42:B43"/>
    <mergeCell ref="C42:C43"/>
    <mergeCell ref="D42:D43"/>
    <mergeCell ref="I42:I43"/>
    <mergeCell ref="J42:J43"/>
    <mergeCell ref="K42:K43"/>
    <mergeCell ref="L42:L43"/>
    <mergeCell ref="N42:N43"/>
    <mergeCell ref="I40:I41"/>
    <mergeCell ref="J40:J41"/>
    <mergeCell ref="K40:K41"/>
    <mergeCell ref="L40:L41"/>
    <mergeCell ref="N40:N41"/>
    <mergeCell ref="I16:Q16"/>
    <mergeCell ref="O40:O41"/>
    <mergeCell ref="O42:O43"/>
    <mergeCell ref="Q42:Q43"/>
    <mergeCell ref="O44:O45"/>
    <mergeCell ref="H22:H35"/>
    <mergeCell ref="I22:Q22"/>
    <mergeCell ref="I27:Q27"/>
    <mergeCell ref="I28:Q28"/>
    <mergeCell ref="I30:Q30"/>
    <mergeCell ref="I31:Q31"/>
    <mergeCell ref="B23:B24"/>
    <mergeCell ref="C23:C24"/>
    <mergeCell ref="D23:D24"/>
    <mergeCell ref="I24:Q24"/>
    <mergeCell ref="B25:B26"/>
    <mergeCell ref="C25:C26"/>
    <mergeCell ref="D25:D26"/>
    <mergeCell ref="I25:I26"/>
    <mergeCell ref="K25:K26"/>
    <mergeCell ref="B32:B33"/>
    <mergeCell ref="C32:C33"/>
    <mergeCell ref="D32:D33"/>
    <mergeCell ref="I32:Q32"/>
    <mergeCell ref="I33:Q33"/>
    <mergeCell ref="D9:D10"/>
    <mergeCell ref="I9:I10"/>
    <mergeCell ref="J9:J10"/>
    <mergeCell ref="K9:K10"/>
    <mergeCell ref="L9:L10"/>
    <mergeCell ref="I11:Q11"/>
    <mergeCell ref="H5:H18"/>
    <mergeCell ref="I5:Q5"/>
    <mergeCell ref="B6:B8"/>
    <mergeCell ref="C6:C8"/>
    <mergeCell ref="D6:D8"/>
    <mergeCell ref="I6:Q6"/>
    <mergeCell ref="I7:Q7"/>
    <mergeCell ref="I8:Q8"/>
    <mergeCell ref="B9:B10"/>
    <mergeCell ref="C9:C10"/>
    <mergeCell ref="I12:Q12"/>
    <mergeCell ref="I14:Q14"/>
    <mergeCell ref="I15:Q15"/>
  </mergeCells>
  <conditionalFormatting sqref="F1:G1048576">
    <cfRule type="cellIs" dxfId="0" priority="1" operator="lessThan">
      <formula>0</formula>
    </cfRule>
  </conditionalFormatting>
  <hyperlinks>
    <hyperlink ref="D11" r:id="rId1" xr:uid="{00000000-0004-0000-0100-000000000000}"/>
    <hyperlink ref="D13" r:id="rId2" xr:uid="{00000000-0004-0000-0100-000001000000}"/>
    <hyperlink ref="D9" r:id="rId3" xr:uid="{00000000-0004-0000-0100-000002000000}"/>
    <hyperlink ref="D58" r:id="rId4" xr:uid="{00000000-0004-0000-0100-000003000000}"/>
    <hyperlink ref="D67" r:id="rId5" xr:uid="{00000000-0004-0000-0100-000004000000}"/>
    <hyperlink ref="D23" r:id="rId6" xr:uid="{00000000-0004-0000-0100-000005000000}"/>
    <hyperlink ref="D29" r:id="rId7" xr:uid="{00000000-0004-0000-0100-000006000000}"/>
    <hyperlink ref="D40" r:id="rId8" xr:uid="{00000000-0004-0000-0100-000007000000}"/>
    <hyperlink ref="D48" r:id="rId9" xr:uid="{00000000-0004-0000-0100-000008000000}"/>
    <hyperlink ref="D42" r:id="rId10" xr:uid="{00000000-0004-0000-0100-000009000000}"/>
    <hyperlink ref="D6" r:id="rId11" xr:uid="{00000000-0004-0000-0100-00000A000000}"/>
    <hyperlink ref="D25" r:id="rId12" xr:uid="{00000000-0004-0000-0100-00000B000000}"/>
    <hyperlink ref="D28" r:id="rId13" xr:uid="{00000000-0004-0000-0100-00000C000000}"/>
    <hyperlink ref="D47" r:id="rId14" xr:uid="{00000000-0004-0000-0100-00000D000000}"/>
    <hyperlink ref="D66" r:id="rId15" xr:uid="{00000000-0004-0000-0100-00000E000000}"/>
    <hyperlink ref="D84" r:id="rId16" xr:uid="{00000000-0004-0000-0100-00000F000000}"/>
    <hyperlink ref="D85" r:id="rId17" xr:uid="{00000000-0004-0000-0100-000010000000}"/>
    <hyperlink ref="D77" r:id="rId18" xr:uid="{00000000-0004-0000-0100-000011000000}"/>
    <hyperlink ref="D16" r:id="rId19" xr:uid="{00000000-0004-0000-0100-000012000000}"/>
    <hyperlink ref="D61" r:id="rId20" xr:uid="{00000000-0004-0000-0100-000013000000}"/>
    <hyperlink ref="D79" r:id="rId21" xr:uid="{00000000-0004-0000-0100-000014000000}"/>
    <hyperlink ref="D95" r:id="rId22" xr:uid="{00000000-0004-0000-0100-000015000000}"/>
    <hyperlink ref="D104" r:id="rId23" xr:uid="{00000000-0004-0000-0100-000016000000}"/>
    <hyperlink ref="D103" r:id="rId24" xr:uid="{00000000-0004-0000-0100-000017000000}"/>
    <hyperlink ref="D98" r:id="rId25" xr:uid="{00000000-0004-0000-0100-000018000000}"/>
    <hyperlink ref="D122" r:id="rId26" xr:uid="{00000000-0004-0000-0100-000019000000}"/>
    <hyperlink ref="D114" r:id="rId27" xr:uid="{00000000-0004-0000-0100-00001A000000}"/>
    <hyperlink ref="D117" r:id="rId28" xr:uid="{00000000-0004-0000-0100-00001B000000}"/>
    <hyperlink ref="D140" r:id="rId29" xr:uid="{00000000-0004-0000-0100-00001C000000}"/>
    <hyperlink ref="D141" r:id="rId30" xr:uid="{00000000-0004-0000-0100-00001D000000}"/>
    <hyperlink ref="D133" r:id="rId31" xr:uid="{00000000-0004-0000-0100-00001E000000}"/>
    <hyperlink ref="D135" r:id="rId32" xr:uid="{00000000-0004-0000-0100-00001F000000}"/>
    <hyperlink ref="D151" r:id="rId33" xr:uid="{00000000-0004-0000-0100-000020000000}"/>
    <hyperlink ref="D160" r:id="rId34" xr:uid="{00000000-0004-0000-0100-000021000000}"/>
    <hyperlink ref="D159" r:id="rId35" xr:uid="{00000000-0004-0000-0100-000022000000}"/>
    <hyperlink ref="D154" r:id="rId36" xr:uid="{00000000-0004-0000-0100-000023000000}"/>
    <hyperlink ref="D170" r:id="rId37" xr:uid="{00000000-0004-0000-0100-000024000000}"/>
    <hyperlink ref="D179" r:id="rId38" xr:uid="{00000000-0004-0000-0100-000025000000}"/>
    <hyperlink ref="D178" r:id="rId39" xr:uid="{00000000-0004-0000-0100-000026000000}"/>
    <hyperlink ref="D173" r:id="rId40" xr:uid="{00000000-0004-0000-0100-000027000000}"/>
    <hyperlink ref="D196" r:id="rId41" xr:uid="{00000000-0004-0000-0100-000028000000}"/>
    <hyperlink ref="D197" r:id="rId42" xr:uid="{00000000-0004-0000-0100-000029000000}"/>
    <hyperlink ref="D189" r:id="rId43" xr:uid="{00000000-0004-0000-0100-00002A000000}"/>
    <hyperlink ref="D191" r:id="rId44" xr:uid="{00000000-0004-0000-0100-00002B000000}"/>
    <hyperlink ref="D214" r:id="rId45" xr:uid="{00000000-0004-0000-0100-00002C000000}"/>
    <hyperlink ref="D215" r:id="rId46" xr:uid="{00000000-0004-0000-0100-00002D000000}"/>
    <hyperlink ref="D207" r:id="rId47" xr:uid="{00000000-0004-0000-0100-00002E000000}"/>
    <hyperlink ref="D209" r:id="rId48" xr:uid="{00000000-0004-0000-0100-00002F000000}"/>
  </hyperlinks>
  <pageMargins left="0.7" right="0.7" top="0.75" bottom="0.75" header="0.3" footer="0.3"/>
  <legacyDrawing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Xuming Cai</dc:creator>
  <cp:lastModifiedBy>Carson Liang</cp:lastModifiedBy>
  <dcterms:created xsi:type="dcterms:W3CDTF">2026-02-06T05:37:22Z</dcterms:created>
  <dcterms:modified xsi:type="dcterms:W3CDTF">2026-03-16T10:23:20Z</dcterms:modified>
</cp:coreProperties>
</file>